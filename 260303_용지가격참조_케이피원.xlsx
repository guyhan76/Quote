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5F5E7A30-6A27-441A-A0BC-ED366BDABEB8}" xr6:coauthVersionLast="47" xr6:coauthVersionMax="47" xr10:uidLastSave="{00000000-0000-0000-0000-000000000000}"/>
  <bookViews>
    <workbookView xWindow="4092" yWindow="228" windowWidth="10344" windowHeight="10368" xr2:uid="{BE08805D-77DE-4AAB-9B06-88A5E4C4A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4" i="1"/>
  <c r="D25" i="1"/>
  <c r="D22" i="1"/>
  <c r="D17" i="1"/>
  <c r="D18" i="1"/>
  <c r="D19" i="1"/>
  <c r="D20" i="1"/>
  <c r="D21" i="1"/>
  <c r="D16" i="1"/>
  <c r="D12" i="1"/>
  <c r="D13" i="1"/>
  <c r="D14" i="1"/>
  <c r="D15" i="1"/>
  <c r="D11" i="1"/>
  <c r="D8" i="1"/>
  <c r="D9" i="1"/>
  <c r="D10" i="1"/>
  <c r="D7" i="1"/>
  <c r="D2" i="1"/>
  <c r="D4" i="1"/>
  <c r="D5" i="1"/>
  <c r="D6" i="1"/>
  <c r="D3" i="1"/>
</calcChain>
</file>

<file path=xl/sharedStrings.xml><?xml version="1.0" encoding="utf-8"?>
<sst xmlns="http://schemas.openxmlformats.org/spreadsheetml/2006/main" count="91" uniqueCount="30">
  <si>
    <t>평량(gsm)</t>
    <phoneticPr fontId="2" type="noConversion"/>
  </si>
  <si>
    <t>비고</t>
    <phoneticPr fontId="2" type="noConversion"/>
  </si>
  <si>
    <t>SC</t>
    <phoneticPr fontId="2" type="noConversion"/>
  </si>
  <si>
    <t>용지종류</t>
    <phoneticPr fontId="2" type="noConversion"/>
  </si>
  <si>
    <t>고시단가(kg)</t>
    <phoneticPr fontId="2" type="noConversion"/>
  </si>
  <si>
    <t>재단단가(kg)</t>
    <phoneticPr fontId="2" type="noConversion"/>
  </si>
  <si>
    <t>생산단가(kg)</t>
    <phoneticPr fontId="2" type="noConversion"/>
  </si>
  <si>
    <t>IV</t>
    <phoneticPr fontId="2" type="noConversion"/>
  </si>
  <si>
    <t>RIV</t>
    <phoneticPr fontId="2" type="noConversion"/>
  </si>
  <si>
    <t>CCP</t>
    <phoneticPr fontId="2" type="noConversion"/>
  </si>
  <si>
    <t>스노우</t>
    <phoneticPr fontId="2" type="noConversion"/>
  </si>
  <si>
    <t>편아트지</t>
    <phoneticPr fontId="2" type="noConversion"/>
  </si>
  <si>
    <t>양아트지</t>
    <phoneticPr fontId="2" type="noConversion"/>
  </si>
  <si>
    <t>알리킹</t>
    <phoneticPr fontId="2" type="noConversion"/>
  </si>
  <si>
    <t>모조지</t>
    <phoneticPr fontId="2" type="noConversion"/>
  </si>
  <si>
    <t>노루지</t>
    <phoneticPr fontId="2" type="noConversion"/>
  </si>
  <si>
    <t>무염료KRAFT</t>
    <phoneticPr fontId="2" type="noConversion"/>
  </si>
  <si>
    <t>수입KRAFT</t>
    <phoneticPr fontId="2" type="noConversion"/>
  </si>
  <si>
    <t>Blanq Light</t>
    <phoneticPr fontId="2" type="noConversion"/>
  </si>
  <si>
    <t>Blanq Bright</t>
    <phoneticPr fontId="2" type="noConversion"/>
  </si>
  <si>
    <t>할인율%</t>
    <phoneticPr fontId="2" type="noConversion"/>
  </si>
  <si>
    <t>규격별 수입진행</t>
    <phoneticPr fontId="2" type="noConversion"/>
  </si>
  <si>
    <t>정규격 재단</t>
    <phoneticPr fontId="2" type="noConversion"/>
  </si>
  <si>
    <t xml:space="preserve"> </t>
    <phoneticPr fontId="2" type="noConversion"/>
  </si>
  <si>
    <t>깨나라 기준</t>
    <phoneticPr fontId="2" type="noConversion"/>
  </si>
  <si>
    <t>한솔 기준(특가건 별도 협의)</t>
    <phoneticPr fontId="2" type="noConversion"/>
  </si>
  <si>
    <t>한솔 AB</t>
    <phoneticPr fontId="2" type="noConversion"/>
  </si>
  <si>
    <t>한창 CCP</t>
    <phoneticPr fontId="2" type="noConversion"/>
  </si>
  <si>
    <t xml:space="preserve"> </t>
    <phoneticPr fontId="2" type="noConversion"/>
  </si>
  <si>
    <t>** 기존에 견적드렸거나, 현재 공급중인 지종 기준으로 가격제시드립니다. 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</si>
</sst>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9" fontId="0" fillId="2" borderId="1" xfId="0" applyNumberForma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3" borderId="2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3F97-1DAB-4C1B-B5B5-F653C192A8B9}">
  <dimension ref="A1:H45"/>
  <sheetViews>
    <sheetView tabSelected="1" workbookViewId="0">
      <selection activeCell="H51" sqref="H51"/>
    </sheetView>
  </sheetViews>
  <sheetFormatPr defaultRowHeight="17.399999999999999" x14ac:dyDescent="0.4"/>
  <cols>
    <col min="1" max="1" width="12.19921875" bestFit="1" customWidth="1"/>
    <col min="2" max="2" width="9.5" customWidth="1"/>
    <col min="3" max="3" width="12.09765625" style="15" bestFit="1" customWidth="1"/>
    <col min="4" max="4" width="12.19921875" customWidth="1"/>
    <col min="5" max="5" width="9" customWidth="1"/>
    <col min="6" max="6" width="12.59765625" customWidth="1"/>
    <col min="7" max="7" width="8.69921875" customWidth="1"/>
    <col min="8" max="8" width="25.19921875" customWidth="1"/>
  </cols>
  <sheetData>
    <row r="1" spans="1:8" x14ac:dyDescent="0.4">
      <c r="A1" s="1" t="s">
        <v>3</v>
      </c>
      <c r="B1" s="1" t="s">
        <v>0</v>
      </c>
      <c r="C1" s="11" t="s">
        <v>4</v>
      </c>
      <c r="D1" s="1" t="s">
        <v>5</v>
      </c>
      <c r="E1" s="1" t="s">
        <v>20</v>
      </c>
      <c r="F1" s="1" t="s">
        <v>6</v>
      </c>
      <c r="G1" s="1" t="s">
        <v>20</v>
      </c>
      <c r="H1" s="1" t="s">
        <v>1</v>
      </c>
    </row>
    <row r="2" spans="1:8" x14ac:dyDescent="0.4">
      <c r="A2" s="2" t="s">
        <v>2</v>
      </c>
      <c r="B2" s="2">
        <v>220</v>
      </c>
      <c r="C2" s="12">
        <v>1542</v>
      </c>
      <c r="D2" s="18">
        <f>C2*0.609598</f>
        <v>940.00011599999993</v>
      </c>
      <c r="E2" s="3">
        <v>0.39</v>
      </c>
      <c r="F2" s="2" t="s">
        <v>23</v>
      </c>
      <c r="G2" s="6" t="s">
        <v>23</v>
      </c>
      <c r="H2" s="5" t="s">
        <v>25</v>
      </c>
    </row>
    <row r="3" spans="1:8" x14ac:dyDescent="0.4">
      <c r="A3" s="2" t="s">
        <v>2</v>
      </c>
      <c r="B3" s="2">
        <v>240</v>
      </c>
      <c r="C3" s="12">
        <v>1494</v>
      </c>
      <c r="D3" s="18">
        <f>C3*0.73</f>
        <v>1090.6199999999999</v>
      </c>
      <c r="E3" s="3">
        <v>0.27</v>
      </c>
      <c r="F3" s="2" t="s">
        <v>23</v>
      </c>
      <c r="G3" s="6" t="s">
        <v>23</v>
      </c>
      <c r="H3" s="5" t="s">
        <v>25</v>
      </c>
    </row>
    <row r="4" spans="1:8" x14ac:dyDescent="0.4">
      <c r="A4" s="2" t="s">
        <v>2</v>
      </c>
      <c r="B4" s="2">
        <v>300</v>
      </c>
      <c r="C4" s="12">
        <v>1406</v>
      </c>
      <c r="D4" s="18">
        <f t="shared" ref="D4:D6" si="0">C4*0.73</f>
        <v>1026.3799999999999</v>
      </c>
      <c r="E4" s="3">
        <v>0.27</v>
      </c>
      <c r="F4" s="2" t="s">
        <v>23</v>
      </c>
      <c r="G4" s="6" t="s">
        <v>23</v>
      </c>
      <c r="H4" s="5" t="s">
        <v>25</v>
      </c>
    </row>
    <row r="5" spans="1:8" x14ac:dyDescent="0.4">
      <c r="A5" s="2" t="s">
        <v>2</v>
      </c>
      <c r="B5" s="2">
        <v>350</v>
      </c>
      <c r="C5" s="12">
        <v>1401</v>
      </c>
      <c r="D5" s="18">
        <f t="shared" si="0"/>
        <v>1022.73</v>
      </c>
      <c r="E5" s="3">
        <v>0.27</v>
      </c>
      <c r="F5" s="2" t="s">
        <v>23</v>
      </c>
      <c r="G5" s="6" t="s">
        <v>23</v>
      </c>
      <c r="H5" s="5" t="s">
        <v>25</v>
      </c>
    </row>
    <row r="6" spans="1:8" x14ac:dyDescent="0.4">
      <c r="A6" s="2" t="s">
        <v>2</v>
      </c>
      <c r="B6" s="2">
        <v>400</v>
      </c>
      <c r="C6" s="12">
        <v>1380</v>
      </c>
      <c r="D6" s="18">
        <f t="shared" si="0"/>
        <v>1007.4</v>
      </c>
      <c r="E6" s="3">
        <v>0.27</v>
      </c>
      <c r="F6" s="2" t="s">
        <v>23</v>
      </c>
      <c r="G6" s="6" t="s">
        <v>23</v>
      </c>
      <c r="H6" s="5" t="s">
        <v>25</v>
      </c>
    </row>
    <row r="7" spans="1:8" x14ac:dyDescent="0.4">
      <c r="A7" s="4" t="s">
        <v>7</v>
      </c>
      <c r="B7" s="4">
        <v>240</v>
      </c>
      <c r="C7" s="13">
        <v>1890</v>
      </c>
      <c r="D7" s="18">
        <f>C7*0.71</f>
        <v>1341.8999999999999</v>
      </c>
      <c r="E7" s="3">
        <v>0.28999999999999998</v>
      </c>
      <c r="F7" s="2"/>
      <c r="G7" s="4"/>
      <c r="H7" s="5" t="s">
        <v>25</v>
      </c>
    </row>
    <row r="8" spans="1:8" x14ac:dyDescent="0.4">
      <c r="A8" s="4" t="s">
        <v>7</v>
      </c>
      <c r="B8" s="4">
        <v>300</v>
      </c>
      <c r="C8" s="13">
        <v>1822</v>
      </c>
      <c r="D8" s="18">
        <f t="shared" ref="D8:D10" si="1">C8*0.71</f>
        <v>1293.6199999999999</v>
      </c>
      <c r="E8" s="3">
        <v>0.28999999999999998</v>
      </c>
      <c r="F8" s="2"/>
      <c r="G8" s="4"/>
      <c r="H8" s="5" t="s">
        <v>25</v>
      </c>
    </row>
    <row r="9" spans="1:8" x14ac:dyDescent="0.4">
      <c r="A9" s="4" t="s">
        <v>7</v>
      </c>
      <c r="B9" s="4">
        <v>350</v>
      </c>
      <c r="C9" s="13">
        <v>1803</v>
      </c>
      <c r="D9" s="18">
        <f t="shared" si="1"/>
        <v>1280.1299999999999</v>
      </c>
      <c r="E9" s="3">
        <v>0.28999999999999998</v>
      </c>
      <c r="F9" s="2"/>
      <c r="G9" s="4"/>
      <c r="H9" s="5" t="s">
        <v>25</v>
      </c>
    </row>
    <row r="10" spans="1:8" ht="18" customHeight="1" x14ac:dyDescent="0.4">
      <c r="A10" s="4" t="s">
        <v>7</v>
      </c>
      <c r="B10" s="4">
        <v>400</v>
      </c>
      <c r="C10" s="13">
        <v>1788</v>
      </c>
      <c r="D10" s="18">
        <f t="shared" si="1"/>
        <v>1269.48</v>
      </c>
      <c r="E10" s="3">
        <v>0.28999999999999998</v>
      </c>
      <c r="F10" s="2"/>
      <c r="G10" s="4"/>
      <c r="H10" s="5" t="s">
        <v>25</v>
      </c>
    </row>
    <row r="11" spans="1:8" x14ac:dyDescent="0.4">
      <c r="A11" s="4" t="s">
        <v>8</v>
      </c>
      <c r="B11" s="4">
        <v>230</v>
      </c>
      <c r="C11" s="13">
        <v>2834</v>
      </c>
      <c r="D11" s="18">
        <f>C11*0.7</f>
        <v>1983.8</v>
      </c>
      <c r="E11" s="3">
        <v>0.3</v>
      </c>
      <c r="F11" s="2"/>
      <c r="G11" s="4"/>
      <c r="H11" s="4" t="s">
        <v>26</v>
      </c>
    </row>
    <row r="12" spans="1:8" x14ac:dyDescent="0.4">
      <c r="A12" s="4" t="s">
        <v>8</v>
      </c>
      <c r="B12" s="4">
        <v>300</v>
      </c>
      <c r="C12" s="13">
        <v>2786</v>
      </c>
      <c r="D12" s="18">
        <f t="shared" ref="D12:D15" si="2">C12*0.7</f>
        <v>1950.1999999999998</v>
      </c>
      <c r="E12" s="3">
        <v>0.3</v>
      </c>
      <c r="F12" s="2"/>
      <c r="G12" s="4"/>
      <c r="H12" s="4" t="s">
        <v>26</v>
      </c>
    </row>
    <row r="13" spans="1:8" x14ac:dyDescent="0.4">
      <c r="A13" s="4" t="s">
        <v>8</v>
      </c>
      <c r="B13" s="4">
        <v>350</v>
      </c>
      <c r="C13" s="13">
        <v>2786</v>
      </c>
      <c r="D13" s="18">
        <f t="shared" si="2"/>
        <v>1950.1999999999998</v>
      </c>
      <c r="E13" s="3">
        <v>0.3</v>
      </c>
      <c r="F13" s="2"/>
      <c r="G13" s="4"/>
      <c r="H13" s="4" t="s">
        <v>26</v>
      </c>
    </row>
    <row r="14" spans="1:8" x14ac:dyDescent="0.4">
      <c r="A14" s="4" t="s">
        <v>8</v>
      </c>
      <c r="B14" s="4">
        <v>400</v>
      </c>
      <c r="C14" s="13">
        <v>2786</v>
      </c>
      <c r="D14" s="18">
        <f t="shared" si="2"/>
        <v>1950.1999999999998</v>
      </c>
      <c r="E14" s="3">
        <v>0.3</v>
      </c>
      <c r="F14" s="2"/>
      <c r="G14" s="4"/>
      <c r="H14" s="4" t="s">
        <v>26</v>
      </c>
    </row>
    <row r="15" spans="1:8" x14ac:dyDescent="0.4">
      <c r="A15" s="4" t="s">
        <v>8</v>
      </c>
      <c r="B15" s="4">
        <v>450</v>
      </c>
      <c r="C15" s="13">
        <v>2786</v>
      </c>
      <c r="D15" s="18">
        <f t="shared" si="2"/>
        <v>1950.1999999999998</v>
      </c>
      <c r="E15" s="3">
        <v>0.3</v>
      </c>
      <c r="F15" s="2"/>
      <c r="G15" s="4"/>
      <c r="H15" s="4" t="s">
        <v>26</v>
      </c>
    </row>
    <row r="16" spans="1:8" x14ac:dyDescent="0.4">
      <c r="A16" s="4" t="s">
        <v>9</v>
      </c>
      <c r="B16" s="4">
        <v>300</v>
      </c>
      <c r="C16" s="13">
        <v>2995</v>
      </c>
      <c r="D16" s="18">
        <f>C16*0.72</f>
        <v>2156.4</v>
      </c>
      <c r="E16" s="3">
        <v>0.28000000000000003</v>
      </c>
      <c r="F16" s="2"/>
      <c r="G16" s="4"/>
      <c r="H16" s="4" t="s">
        <v>27</v>
      </c>
    </row>
    <row r="17" spans="1:8" x14ac:dyDescent="0.4">
      <c r="A17" s="4" t="s">
        <v>9</v>
      </c>
      <c r="B17" s="4">
        <v>350</v>
      </c>
      <c r="C17" s="13">
        <v>2995</v>
      </c>
      <c r="D17" s="18">
        <f t="shared" ref="D17:D21" si="3">C17*0.72</f>
        <v>2156.4</v>
      </c>
      <c r="E17" s="3">
        <v>0.28000000000000003</v>
      </c>
      <c r="F17" s="2"/>
      <c r="G17" s="4"/>
      <c r="H17" s="4" t="s">
        <v>27</v>
      </c>
    </row>
    <row r="18" spans="1:8" x14ac:dyDescent="0.4">
      <c r="A18" s="4" t="s">
        <v>9</v>
      </c>
      <c r="B18" s="4">
        <v>400</v>
      </c>
      <c r="C18" s="13">
        <v>2995</v>
      </c>
      <c r="D18" s="18">
        <f t="shared" si="3"/>
        <v>2156.4</v>
      </c>
      <c r="E18" s="3">
        <v>0.28000000000000003</v>
      </c>
      <c r="F18" s="2"/>
      <c r="G18" s="4"/>
      <c r="H18" s="4" t="s">
        <v>27</v>
      </c>
    </row>
    <row r="19" spans="1:8" x14ac:dyDescent="0.4">
      <c r="A19" s="4" t="s">
        <v>10</v>
      </c>
      <c r="B19" s="4">
        <v>200</v>
      </c>
      <c r="C19" s="13">
        <v>2082</v>
      </c>
      <c r="D19" s="18">
        <f t="shared" si="3"/>
        <v>1499.04</v>
      </c>
      <c r="E19" s="3">
        <v>0.28000000000000003</v>
      </c>
      <c r="F19" s="2"/>
      <c r="G19" s="4"/>
      <c r="H19" s="4"/>
    </row>
    <row r="20" spans="1:8" x14ac:dyDescent="0.4">
      <c r="A20" s="4" t="s">
        <v>10</v>
      </c>
      <c r="B20" s="4">
        <v>250</v>
      </c>
      <c r="C20" s="13">
        <v>2082</v>
      </c>
      <c r="D20" s="18">
        <f t="shared" si="3"/>
        <v>1499.04</v>
      </c>
      <c r="E20" s="3">
        <v>0.28000000000000003</v>
      </c>
      <c r="F20" s="2"/>
      <c r="G20" s="4"/>
      <c r="H20" s="4"/>
    </row>
    <row r="21" spans="1:8" x14ac:dyDescent="0.4">
      <c r="A21" s="4" t="s">
        <v>10</v>
      </c>
      <c r="B21" s="4">
        <v>300</v>
      </c>
      <c r="C21" s="13">
        <v>2082</v>
      </c>
      <c r="D21" s="18">
        <f t="shared" si="3"/>
        <v>1499.04</v>
      </c>
      <c r="E21" s="3">
        <v>0.28000000000000003</v>
      </c>
      <c r="F21" s="2"/>
      <c r="G21" s="4"/>
      <c r="H21" s="4"/>
    </row>
    <row r="22" spans="1:8" s="9" customFormat="1" x14ac:dyDescent="0.4">
      <c r="A22" s="7" t="s">
        <v>16</v>
      </c>
      <c r="B22" s="7">
        <v>240</v>
      </c>
      <c r="C22" s="14">
        <v>1598</v>
      </c>
      <c r="D22" s="19">
        <f>C22*0.68</f>
        <v>1086.6400000000001</v>
      </c>
      <c r="E22" s="10">
        <v>0.32</v>
      </c>
      <c r="F22" s="8"/>
      <c r="G22" s="7"/>
      <c r="H22" s="7" t="s">
        <v>24</v>
      </c>
    </row>
    <row r="23" spans="1:8" s="9" customFormat="1" x14ac:dyDescent="0.4">
      <c r="A23" s="7" t="s">
        <v>16</v>
      </c>
      <c r="B23" s="7">
        <v>300</v>
      </c>
      <c r="C23" s="14">
        <v>1505</v>
      </c>
      <c r="D23" s="19">
        <f t="shared" ref="D23:D25" si="4">C23*0.68</f>
        <v>1023.4000000000001</v>
      </c>
      <c r="E23" s="10">
        <v>0.32</v>
      </c>
      <c r="F23" s="8"/>
      <c r="G23" s="7"/>
      <c r="H23" s="7" t="s">
        <v>24</v>
      </c>
    </row>
    <row r="24" spans="1:8" s="9" customFormat="1" x14ac:dyDescent="0.4">
      <c r="A24" s="7" t="s">
        <v>16</v>
      </c>
      <c r="B24" s="7">
        <v>350</v>
      </c>
      <c r="C24" s="14">
        <v>1496</v>
      </c>
      <c r="D24" s="19">
        <f t="shared" si="4"/>
        <v>1017.2800000000001</v>
      </c>
      <c r="E24" s="10">
        <v>0.32</v>
      </c>
      <c r="F24" s="8"/>
      <c r="G24" s="7"/>
      <c r="H24" s="7" t="s">
        <v>24</v>
      </c>
    </row>
    <row r="25" spans="1:8" s="9" customFormat="1" x14ac:dyDescent="0.4">
      <c r="A25" s="7" t="s">
        <v>16</v>
      </c>
      <c r="B25" s="7">
        <v>400</v>
      </c>
      <c r="C25" s="14">
        <v>1473</v>
      </c>
      <c r="D25" s="19">
        <f t="shared" si="4"/>
        <v>1001.6400000000001</v>
      </c>
      <c r="E25" s="10">
        <v>0.32</v>
      </c>
      <c r="F25" s="8"/>
      <c r="G25" s="7"/>
      <c r="H25" s="7" t="s">
        <v>24</v>
      </c>
    </row>
    <row r="26" spans="1:8" s="9" customFormat="1" x14ac:dyDescent="0.4">
      <c r="A26" s="7" t="s">
        <v>18</v>
      </c>
      <c r="B26" s="7">
        <v>190</v>
      </c>
      <c r="C26" s="14"/>
      <c r="D26" s="8">
        <v>930</v>
      </c>
      <c r="E26" s="8"/>
      <c r="F26" s="8"/>
      <c r="G26" s="7"/>
      <c r="H26" s="7" t="s">
        <v>21</v>
      </c>
    </row>
    <row r="27" spans="1:8" s="9" customFormat="1" x14ac:dyDescent="0.4">
      <c r="A27" s="7" t="s">
        <v>19</v>
      </c>
      <c r="B27" s="7">
        <v>270</v>
      </c>
      <c r="C27" s="14"/>
      <c r="D27" s="8">
        <v>1530</v>
      </c>
      <c r="E27" s="8"/>
      <c r="F27" s="8"/>
      <c r="G27" s="7"/>
      <c r="H27" s="7" t="s">
        <v>22</v>
      </c>
    </row>
    <row r="28" spans="1:8" x14ac:dyDescent="0.4">
      <c r="A28" s="4" t="s">
        <v>19</v>
      </c>
      <c r="B28" s="4">
        <v>300</v>
      </c>
      <c r="C28" s="13"/>
      <c r="D28" s="2">
        <v>1530</v>
      </c>
      <c r="E28" s="2"/>
      <c r="F28" s="2"/>
      <c r="G28" s="4"/>
      <c r="H28" s="4" t="s">
        <v>22</v>
      </c>
    </row>
    <row r="29" spans="1:8" x14ac:dyDescent="0.4">
      <c r="A29" s="2" t="s">
        <v>19</v>
      </c>
      <c r="B29" s="2">
        <v>325</v>
      </c>
      <c r="C29" s="12"/>
      <c r="D29" s="2">
        <v>1530</v>
      </c>
      <c r="E29" s="2"/>
      <c r="F29" s="2"/>
      <c r="G29" s="2"/>
      <c r="H29" s="2" t="s">
        <v>22</v>
      </c>
    </row>
    <row r="30" spans="1:8" x14ac:dyDescent="0.4">
      <c r="A30" s="16" t="s">
        <v>11</v>
      </c>
      <c r="B30" s="4">
        <v>140</v>
      </c>
      <c r="C30" s="13">
        <v>2066</v>
      </c>
      <c r="D30" s="2"/>
      <c r="E30" s="2"/>
      <c r="F30" s="2"/>
      <c r="G30" s="4"/>
      <c r="H30" s="4"/>
    </row>
    <row r="31" spans="1:8" x14ac:dyDescent="0.4">
      <c r="A31" s="16" t="s">
        <v>11</v>
      </c>
      <c r="B31" s="4">
        <v>160</v>
      </c>
      <c r="C31" s="13">
        <v>2066</v>
      </c>
      <c r="D31" s="2"/>
      <c r="E31" s="2"/>
      <c r="F31" s="2"/>
      <c r="G31" s="4"/>
      <c r="H31" s="4"/>
    </row>
    <row r="32" spans="1:8" x14ac:dyDescent="0.4">
      <c r="A32" s="16" t="s">
        <v>12</v>
      </c>
      <c r="B32" s="4">
        <v>200</v>
      </c>
      <c r="C32" s="13">
        <v>2082</v>
      </c>
      <c r="D32" s="2"/>
      <c r="E32" s="2"/>
      <c r="F32" s="2"/>
      <c r="G32" s="4"/>
      <c r="H32" s="4"/>
    </row>
    <row r="33" spans="1:8" x14ac:dyDescent="0.4">
      <c r="A33" s="16" t="s">
        <v>12</v>
      </c>
      <c r="B33" s="4">
        <v>250</v>
      </c>
      <c r="C33" s="13">
        <v>2082</v>
      </c>
      <c r="D33" s="2"/>
      <c r="E33" s="2"/>
      <c r="F33" s="2"/>
      <c r="G33" s="4"/>
      <c r="H33" s="4"/>
    </row>
    <row r="34" spans="1:8" x14ac:dyDescent="0.4">
      <c r="A34" s="16" t="s">
        <v>13</v>
      </c>
      <c r="B34" s="4"/>
      <c r="C34" s="13"/>
      <c r="D34" s="2" t="s">
        <v>28</v>
      </c>
      <c r="E34" s="2"/>
      <c r="F34" s="2"/>
      <c r="G34" s="4"/>
      <c r="H34" s="4"/>
    </row>
    <row r="35" spans="1:8" s="9" customFormat="1" x14ac:dyDescent="0.4">
      <c r="A35" s="16" t="s">
        <v>14</v>
      </c>
      <c r="B35" s="7">
        <v>100</v>
      </c>
      <c r="C35" s="14">
        <v>2058</v>
      </c>
      <c r="D35" s="8"/>
      <c r="E35" s="8"/>
      <c r="F35" s="8"/>
      <c r="G35" s="7"/>
      <c r="H35" s="7"/>
    </row>
    <row r="36" spans="1:8" s="9" customFormat="1" x14ac:dyDescent="0.4">
      <c r="A36" s="16" t="s">
        <v>14</v>
      </c>
      <c r="B36" s="7">
        <v>120</v>
      </c>
      <c r="C36" s="14">
        <v>2058</v>
      </c>
      <c r="D36" s="8"/>
      <c r="E36" s="8"/>
      <c r="F36" s="8"/>
      <c r="G36" s="7"/>
      <c r="H36" s="7"/>
    </row>
    <row r="37" spans="1:8" s="9" customFormat="1" x14ac:dyDescent="0.4">
      <c r="A37" s="16" t="s">
        <v>14</v>
      </c>
      <c r="B37" s="7">
        <v>150</v>
      </c>
      <c r="C37" s="14">
        <v>2058</v>
      </c>
      <c r="D37" s="8"/>
      <c r="E37" s="8"/>
      <c r="F37" s="8"/>
      <c r="G37" s="7"/>
      <c r="H37" s="7"/>
    </row>
    <row r="38" spans="1:8" s="9" customFormat="1" x14ac:dyDescent="0.4">
      <c r="A38" s="16" t="s">
        <v>14</v>
      </c>
      <c r="B38" s="7">
        <v>180</v>
      </c>
      <c r="C38" s="14">
        <v>2058</v>
      </c>
      <c r="D38" s="8"/>
      <c r="E38" s="8"/>
      <c r="F38" s="8"/>
      <c r="G38" s="7"/>
      <c r="H38" s="7"/>
    </row>
    <row r="39" spans="1:8" s="9" customFormat="1" x14ac:dyDescent="0.4">
      <c r="A39" s="16" t="s">
        <v>15</v>
      </c>
      <c r="B39" s="7"/>
      <c r="C39" s="14"/>
      <c r="D39" s="8"/>
      <c r="E39" s="8"/>
      <c r="F39" s="8"/>
      <c r="G39" s="7"/>
      <c r="H39" s="7"/>
    </row>
    <row r="40" spans="1:8" s="9" customFormat="1" x14ac:dyDescent="0.4">
      <c r="A40" s="16" t="s">
        <v>17</v>
      </c>
      <c r="B40" s="7">
        <v>250</v>
      </c>
      <c r="C40" s="14"/>
      <c r="D40" s="8"/>
      <c r="E40" s="10" t="s">
        <v>23</v>
      </c>
      <c r="F40" s="8"/>
      <c r="G40" s="7"/>
      <c r="H40" s="7"/>
    </row>
    <row r="41" spans="1:8" s="9" customFormat="1" x14ac:dyDescent="0.4">
      <c r="A41" s="16" t="s">
        <v>17</v>
      </c>
      <c r="B41" s="7">
        <v>300</v>
      </c>
      <c r="C41" s="14"/>
      <c r="D41" s="8"/>
      <c r="E41" s="10" t="s">
        <v>23</v>
      </c>
      <c r="F41" s="8"/>
      <c r="G41" s="7"/>
      <c r="H41" s="7"/>
    </row>
    <row r="42" spans="1:8" s="9" customFormat="1" x14ac:dyDescent="0.4">
      <c r="A42" s="16" t="s">
        <v>17</v>
      </c>
      <c r="B42" s="7">
        <v>350</v>
      </c>
      <c r="C42" s="14"/>
      <c r="D42" s="8"/>
      <c r="E42" s="10" t="s">
        <v>23</v>
      </c>
      <c r="F42" s="8"/>
      <c r="G42" s="7"/>
      <c r="H42" s="7"/>
    </row>
    <row r="43" spans="1:8" s="9" customFormat="1" x14ac:dyDescent="0.4">
      <c r="A43" s="20" t="s">
        <v>17</v>
      </c>
      <c r="B43" s="8">
        <v>400</v>
      </c>
      <c r="C43" s="21"/>
      <c r="D43" s="8"/>
      <c r="E43" s="10" t="s">
        <v>23</v>
      </c>
      <c r="F43" s="8"/>
      <c r="G43" s="8"/>
      <c r="H43" s="8"/>
    </row>
    <row r="45" spans="1:8" ht="25.2" x14ac:dyDescent="0.4">
      <c r="A45" s="17" t="s">
        <v>29</v>
      </c>
      <c r="B45" s="17"/>
      <c r="C45" s="17"/>
      <c r="D45" s="17"/>
      <c r="E45" s="17"/>
      <c r="F45" s="17"/>
      <c r="G45" s="17"/>
      <c r="H45" s="17"/>
    </row>
  </sheetData>
  <mergeCells count="1">
    <mergeCell ref="A45:H4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cp:lastPrinted>2026-03-03T07:13:51Z</cp:lastPrinted>
  <dcterms:created xsi:type="dcterms:W3CDTF">2026-01-25T09:08:05Z</dcterms:created>
  <dcterms:modified xsi:type="dcterms:W3CDTF">2026-05-05T06:51:30Z</dcterms:modified>
</cp:coreProperties>
</file>