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70C7B18D-827E-4AB7-8F35-B592363A5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원단계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2" l="1"/>
  <c r="U30" i="2"/>
  <c r="U29" i="2"/>
  <c r="U28" i="2"/>
  <c r="U27" i="2"/>
  <c r="U26" i="2"/>
  <c r="U25" i="2"/>
  <c r="U24" i="2"/>
  <c r="U23" i="2"/>
  <c r="U22" i="2"/>
  <c r="I80" i="2" s="1"/>
  <c r="U21" i="2"/>
  <c r="H110" i="2" s="1"/>
  <c r="K21" i="2"/>
  <c r="U20" i="2"/>
  <c r="K77" i="2" s="1"/>
  <c r="L20" i="2"/>
  <c r="U19" i="2"/>
  <c r="I29" i="2" s="1"/>
  <c r="U18" i="2"/>
  <c r="I37" i="2" s="1"/>
  <c r="U17" i="2"/>
  <c r="J104" i="2" s="1"/>
  <c r="H17" i="2"/>
  <c r="U16" i="2"/>
  <c r="U15" i="2"/>
  <c r="L80" i="2" s="1"/>
  <c r="U14" i="2"/>
  <c r="U13" i="2"/>
  <c r="H89" i="2" s="1"/>
  <c r="U12" i="2"/>
  <c r="U11" i="2"/>
  <c r="L95" i="2" s="1"/>
  <c r="U10" i="2"/>
  <c r="H16" i="2" s="1"/>
  <c r="U9" i="2"/>
  <c r="L33" i="2" s="1"/>
  <c r="U8" i="2"/>
  <c r="L8" i="2"/>
  <c r="K8" i="2"/>
  <c r="U7" i="2"/>
  <c r="L88" i="2" s="1"/>
  <c r="U6" i="2"/>
  <c r="H18" i="2" s="1"/>
  <c r="U5" i="2"/>
  <c r="H116" i="2" s="1"/>
  <c r="L37" i="2" l="1"/>
  <c r="I38" i="2"/>
  <c r="L32" i="2"/>
  <c r="L40" i="2"/>
  <c r="H32" i="2"/>
  <c r="I42" i="2"/>
  <c r="J53" i="2"/>
  <c r="H55" i="2"/>
  <c r="I93" i="2"/>
  <c r="L12" i="2"/>
  <c r="L13" i="2"/>
  <c r="K15" i="2"/>
  <c r="I40" i="2"/>
  <c r="I84" i="2"/>
  <c r="I27" i="2"/>
  <c r="K7" i="2"/>
  <c r="L19" i="2"/>
  <c r="I66" i="2"/>
  <c r="J89" i="2"/>
  <c r="J98" i="2"/>
  <c r="I54" i="2"/>
  <c r="K11" i="2"/>
  <c r="K86" i="2"/>
  <c r="K12" i="2"/>
  <c r="I102" i="2"/>
  <c r="K5" i="2"/>
  <c r="I41" i="2"/>
  <c r="K104" i="2"/>
  <c r="L5" i="2"/>
  <c r="I117" i="2"/>
  <c r="I50" i="2"/>
  <c r="J50" i="2"/>
  <c r="K52" i="2"/>
  <c r="I53" i="2"/>
  <c r="H51" i="2"/>
  <c r="H8" i="2"/>
  <c r="M8" i="2" s="1"/>
  <c r="L91" i="2"/>
  <c r="H54" i="2"/>
  <c r="H9" i="2"/>
  <c r="H10" i="2"/>
  <c r="I39" i="2"/>
  <c r="K20" i="2"/>
  <c r="L14" i="2"/>
  <c r="K95" i="2"/>
  <c r="I32" i="2"/>
  <c r="N32" i="2" s="1"/>
  <c r="P32" i="2" s="1"/>
  <c r="I44" i="2"/>
  <c r="H33" i="2"/>
  <c r="L58" i="2"/>
  <c r="L64" i="2"/>
  <c r="L34" i="2"/>
  <c r="I35" i="2"/>
  <c r="I47" i="2"/>
  <c r="H69" i="2"/>
  <c r="L7" i="2"/>
  <c r="H20" i="2"/>
  <c r="H87" i="2"/>
  <c r="L44" i="2"/>
  <c r="H105" i="2"/>
  <c r="I45" i="2"/>
  <c r="L46" i="2"/>
  <c r="I26" i="2"/>
  <c r="I36" i="2"/>
  <c r="I49" i="2"/>
  <c r="I75" i="2"/>
  <c r="K13" i="2"/>
  <c r="L39" i="2"/>
  <c r="K14" i="2"/>
  <c r="H21" i="2"/>
  <c r="L43" i="2"/>
  <c r="K9" i="2"/>
  <c r="H22" i="2"/>
  <c r="L57" i="2"/>
  <c r="I34" i="2"/>
  <c r="L6" i="2"/>
  <c r="K19" i="2"/>
  <c r="L26" i="2"/>
  <c r="L49" i="2"/>
  <c r="H113" i="2"/>
  <c r="H98" i="2"/>
  <c r="H77" i="2"/>
  <c r="H120" i="2"/>
  <c r="H109" i="2"/>
  <c r="H100" i="2"/>
  <c r="H97" i="2"/>
  <c r="H82" i="2"/>
  <c r="H79" i="2"/>
  <c r="H64" i="2"/>
  <c r="H25" i="2"/>
  <c r="H13" i="2"/>
  <c r="H96" i="2"/>
  <c r="L82" i="2"/>
  <c r="H78" i="2"/>
  <c r="H99" i="2"/>
  <c r="H81" i="2"/>
  <c r="H59" i="2"/>
  <c r="H30" i="2"/>
  <c r="H12" i="2"/>
  <c r="H61" i="2"/>
  <c r="H60" i="2"/>
  <c r="H29" i="2"/>
  <c r="H11" i="2"/>
  <c r="H47" i="2"/>
  <c r="H45" i="2"/>
  <c r="H44" i="2"/>
  <c r="H43" i="2"/>
  <c r="H42" i="2"/>
  <c r="H41" i="2"/>
  <c r="H28" i="2"/>
  <c r="I43" i="2"/>
  <c r="I46" i="2"/>
  <c r="J57" i="2"/>
  <c r="J64" i="2"/>
  <c r="H15" i="2"/>
  <c r="L25" i="2"/>
  <c r="H27" i="2"/>
  <c r="L31" i="2"/>
  <c r="L35" i="2"/>
  <c r="L38" i="2"/>
  <c r="L41" i="2"/>
  <c r="L47" i="2"/>
  <c r="L52" i="2"/>
  <c r="J55" i="2"/>
  <c r="H62" i="2"/>
  <c r="I33" i="2"/>
  <c r="I48" i="2"/>
  <c r="J56" i="2"/>
  <c r="L59" i="2"/>
  <c r="H63" i="2"/>
  <c r="K68" i="2"/>
  <c r="H14" i="2"/>
  <c r="I119" i="2"/>
  <c r="I113" i="2"/>
  <c r="K100" i="2"/>
  <c r="I95" i="2"/>
  <c r="K94" i="2"/>
  <c r="I86" i="2"/>
  <c r="I83" i="2"/>
  <c r="K79" i="2"/>
  <c r="K76" i="2"/>
  <c r="I74" i="2"/>
  <c r="I71" i="2"/>
  <c r="K70" i="2"/>
  <c r="I56" i="2"/>
  <c r="K55" i="2"/>
  <c r="I120" i="2"/>
  <c r="I114" i="2"/>
  <c r="J106" i="2"/>
  <c r="L99" i="2"/>
  <c r="L96" i="2"/>
  <c r="J94" i="2"/>
  <c r="L93" i="2"/>
  <c r="L87" i="2"/>
  <c r="L84" i="2"/>
  <c r="J82" i="2"/>
  <c r="L81" i="2"/>
  <c r="H80" i="2"/>
  <c r="L78" i="2"/>
  <c r="J76" i="2"/>
  <c r="L75" i="2"/>
  <c r="J73" i="2"/>
  <c r="L72" i="2"/>
  <c r="L69" i="2"/>
  <c r="I121" i="2"/>
  <c r="H114" i="2"/>
  <c r="I106" i="2"/>
  <c r="K105" i="2"/>
  <c r="K96" i="2"/>
  <c r="I94" i="2"/>
  <c r="K93" i="2"/>
  <c r="I76" i="2"/>
  <c r="I70" i="2"/>
  <c r="K63" i="2"/>
  <c r="I55" i="2"/>
  <c r="I122" i="2"/>
  <c r="L104" i="2"/>
  <c r="L101" i="2"/>
  <c r="J99" i="2"/>
  <c r="L98" i="2"/>
  <c r="J93" i="2"/>
  <c r="L92" i="2"/>
  <c r="L89" i="2"/>
  <c r="J87" i="2"/>
  <c r="J84" i="2"/>
  <c r="J81" i="2"/>
  <c r="L77" i="2"/>
  <c r="J75" i="2"/>
  <c r="L74" i="2"/>
  <c r="J69" i="2"/>
  <c r="L68" i="2"/>
  <c r="I118" i="2"/>
  <c r="H117" i="2"/>
  <c r="I112" i="2"/>
  <c r="H122" i="2"/>
  <c r="K101" i="2"/>
  <c r="K83" i="2"/>
  <c r="K74" i="2"/>
  <c r="L62" i="2"/>
  <c r="L61" i="2"/>
  <c r="I24" i="2"/>
  <c r="L23" i="2"/>
  <c r="L17" i="2"/>
  <c r="L11" i="2"/>
  <c r="K6" i="2"/>
  <c r="H6" i="2"/>
  <c r="I111" i="2"/>
  <c r="J71" i="2"/>
  <c r="L103" i="2"/>
  <c r="L94" i="2"/>
  <c r="L85" i="2"/>
  <c r="L76" i="2"/>
  <c r="L67" i="2"/>
  <c r="L63" i="2"/>
  <c r="K62" i="2"/>
  <c r="J51" i="2"/>
  <c r="L50" i="2"/>
  <c r="L28" i="2"/>
  <c r="I23" i="2"/>
  <c r="L22" i="2"/>
  <c r="K17" i="2"/>
  <c r="L16" i="2"/>
  <c r="L10" i="2"/>
  <c r="L100" i="2"/>
  <c r="L73" i="2"/>
  <c r="K89" i="2"/>
  <c r="K80" i="2"/>
  <c r="J63" i="2"/>
  <c r="L56" i="2"/>
  <c r="L55" i="2"/>
  <c r="K53" i="2"/>
  <c r="I28" i="2"/>
  <c r="L27" i="2"/>
  <c r="H23" i="2"/>
  <c r="L21" i="2"/>
  <c r="L15" i="2"/>
  <c r="L9" i="2"/>
  <c r="H5" i="2"/>
  <c r="J80" i="2"/>
  <c r="L106" i="2"/>
  <c r="L97" i="2"/>
  <c r="H93" i="2"/>
  <c r="L79" i="2"/>
  <c r="J77" i="2"/>
  <c r="L70" i="2"/>
  <c r="L60" i="2"/>
  <c r="H56" i="2"/>
  <c r="L51" i="2"/>
  <c r="L30" i="2"/>
  <c r="H26" i="2"/>
  <c r="I25" i="2"/>
  <c r="L24" i="2"/>
  <c r="L18" i="2"/>
  <c r="L36" i="2"/>
  <c r="L42" i="2"/>
  <c r="L45" i="2"/>
  <c r="L48" i="2"/>
  <c r="K56" i="2"/>
  <c r="I63" i="2"/>
  <c r="K106" i="2"/>
  <c r="K91" i="2"/>
  <c r="K82" i="2"/>
  <c r="I77" i="2"/>
  <c r="K73" i="2"/>
  <c r="K64" i="2"/>
  <c r="K90" i="2"/>
  <c r="K84" i="2"/>
  <c r="I82" i="2"/>
  <c r="I73" i="2"/>
  <c r="K69" i="2"/>
  <c r="I64" i="2"/>
  <c r="I31" i="2"/>
  <c r="H34" i="2"/>
  <c r="H35" i="2"/>
  <c r="H36" i="2"/>
  <c r="H37" i="2"/>
  <c r="H38" i="2"/>
  <c r="H39" i="2"/>
  <c r="H40" i="2"/>
  <c r="H46" i="2"/>
  <c r="H48" i="2"/>
  <c r="H49" i="2"/>
  <c r="H50" i="2"/>
  <c r="J52" i="2"/>
  <c r="H53" i="2"/>
  <c r="I57" i="2"/>
  <c r="J58" i="2"/>
  <c r="K59" i="2"/>
  <c r="H66" i="2"/>
  <c r="J68" i="2"/>
  <c r="H75" i="2"/>
  <c r="H84" i="2"/>
  <c r="J86" i="2"/>
  <c r="J95" i="2"/>
  <c r="H102" i="2"/>
  <c r="H112" i="2"/>
  <c r="H119" i="2"/>
  <c r="H74" i="2"/>
  <c r="H108" i="2"/>
  <c r="H94" i="2"/>
  <c r="H76" i="2"/>
  <c r="H73" i="2"/>
  <c r="K10" i="2"/>
  <c r="K16" i="2"/>
  <c r="I107" i="2"/>
  <c r="I104" i="2"/>
  <c r="I101" i="2"/>
  <c r="I98" i="2"/>
  <c r="I92" i="2"/>
  <c r="I89" i="2"/>
  <c r="I68" i="2"/>
  <c r="I65" i="2"/>
  <c r="I62" i="2"/>
  <c r="I59" i="2"/>
  <c r="I108" i="2"/>
  <c r="L105" i="2"/>
  <c r="J103" i="2"/>
  <c r="J100" i="2"/>
  <c r="J97" i="2"/>
  <c r="H95" i="2"/>
  <c r="J88" i="2"/>
  <c r="J85" i="2"/>
  <c r="J79" i="2"/>
  <c r="J70" i="2"/>
  <c r="J67" i="2"/>
  <c r="I115" i="2"/>
  <c r="I109" i="2"/>
  <c r="I103" i="2"/>
  <c r="K102" i="2"/>
  <c r="I100" i="2"/>
  <c r="K99" i="2"/>
  <c r="I97" i="2"/>
  <c r="K87" i="2"/>
  <c r="I85" i="2"/>
  <c r="K81" i="2"/>
  <c r="I79" i="2"/>
  <c r="K78" i="2"/>
  <c r="K75" i="2"/>
  <c r="K72" i="2"/>
  <c r="I67" i="2"/>
  <c r="K66" i="2"/>
  <c r="I61" i="2"/>
  <c r="K60" i="2"/>
  <c r="K57" i="2"/>
  <c r="K54" i="2"/>
  <c r="I116" i="2"/>
  <c r="M116" i="2" s="1"/>
  <c r="I110" i="2"/>
  <c r="N110" i="2" s="1"/>
  <c r="P110" i="2" s="1"/>
  <c r="J105" i="2"/>
  <c r="J102" i="2"/>
  <c r="J96" i="2"/>
  <c r="J90" i="2"/>
  <c r="L86" i="2"/>
  <c r="L83" i="2"/>
  <c r="J78" i="2"/>
  <c r="J72" i="2"/>
  <c r="L71" i="2"/>
  <c r="J66" i="2"/>
  <c r="K22" i="2"/>
  <c r="K50" i="2"/>
  <c r="I51" i="2"/>
  <c r="J54" i="2"/>
  <c r="J62" i="2"/>
  <c r="I69" i="2"/>
  <c r="K71" i="2"/>
  <c r="I78" i="2"/>
  <c r="I87" i="2"/>
  <c r="I96" i="2"/>
  <c r="K98" i="2"/>
  <c r="I105" i="2"/>
  <c r="K103" i="2"/>
  <c r="K97" i="2"/>
  <c r="K85" i="2"/>
  <c r="K67" i="2"/>
  <c r="K61" i="2"/>
  <c r="L102" i="2"/>
  <c r="L66" i="2"/>
  <c r="H24" i="2"/>
  <c r="H52" i="2"/>
  <c r="L53" i="2"/>
  <c r="L54" i="2"/>
  <c r="I60" i="2"/>
  <c r="J61" i="2"/>
  <c r="J65" i="2"/>
  <c r="H72" i="2"/>
  <c r="J74" i="2"/>
  <c r="J83" i="2"/>
  <c r="H90" i="2"/>
  <c r="J92" i="2"/>
  <c r="J101" i="2"/>
  <c r="H118" i="2"/>
  <c r="H107" i="2"/>
  <c r="H104" i="2"/>
  <c r="H101" i="2"/>
  <c r="H86" i="2"/>
  <c r="H83" i="2"/>
  <c r="H71" i="2"/>
  <c r="H68" i="2"/>
  <c r="H65" i="2"/>
  <c r="H115" i="2"/>
  <c r="H106" i="2"/>
  <c r="H103" i="2"/>
  <c r="H88" i="2"/>
  <c r="H85" i="2"/>
  <c r="H67" i="2"/>
  <c r="H111" i="2"/>
  <c r="H7" i="2"/>
  <c r="H92" i="2"/>
  <c r="L90" i="2"/>
  <c r="H121" i="2"/>
  <c r="H70" i="2"/>
  <c r="K18" i="2"/>
  <c r="H19" i="2"/>
  <c r="K88" i="2"/>
  <c r="K58" i="2"/>
  <c r="J91" i="2"/>
  <c r="I91" i="2"/>
  <c r="I88" i="2"/>
  <c r="I58" i="2"/>
  <c r="H91" i="2"/>
  <c r="L65" i="2"/>
  <c r="L29" i="2"/>
  <c r="I30" i="2"/>
  <c r="H31" i="2"/>
  <c r="K51" i="2"/>
  <c r="I52" i="2"/>
  <c r="H57" i="2"/>
  <c r="H58" i="2"/>
  <c r="J59" i="2"/>
  <c r="J60" i="2"/>
  <c r="K65" i="2"/>
  <c r="I72" i="2"/>
  <c r="I81" i="2"/>
  <c r="I90" i="2"/>
  <c r="K92" i="2"/>
  <c r="I99" i="2"/>
  <c r="M6" i="2" l="1"/>
  <c r="N16" i="2"/>
  <c r="P16" i="2" s="1"/>
  <c r="N10" i="2"/>
  <c r="P10" i="2" s="1"/>
  <c r="N8" i="2"/>
  <c r="P8" i="2" s="1"/>
  <c r="N21" i="2"/>
  <c r="P21" i="2" s="1"/>
  <c r="N33" i="2"/>
  <c r="P33" i="2" s="1"/>
  <c r="M10" i="2"/>
  <c r="M51" i="2"/>
  <c r="M87" i="2"/>
  <c r="N20" i="2"/>
  <c r="P20" i="2" s="1"/>
  <c r="M69" i="2"/>
  <c r="N18" i="2"/>
  <c r="P18" i="2" s="1"/>
  <c r="M32" i="2"/>
  <c r="M105" i="2"/>
  <c r="M89" i="2"/>
  <c r="M33" i="2"/>
  <c r="M22" i="2"/>
  <c r="N87" i="2"/>
  <c r="P87" i="2" s="1"/>
  <c r="M20" i="2"/>
  <c r="M110" i="2"/>
  <c r="M55" i="2"/>
  <c r="M54" i="2"/>
  <c r="N105" i="2"/>
  <c r="P105" i="2" s="1"/>
  <c r="M9" i="2"/>
  <c r="M21" i="2"/>
  <c r="M57" i="2"/>
  <c r="N57" i="2"/>
  <c r="P57" i="2" s="1"/>
  <c r="N67" i="2"/>
  <c r="P67" i="2" s="1"/>
  <c r="M67" i="2"/>
  <c r="N104" i="2"/>
  <c r="P104" i="2" s="1"/>
  <c r="M104" i="2"/>
  <c r="N76" i="2"/>
  <c r="P76" i="2" s="1"/>
  <c r="M76" i="2"/>
  <c r="N40" i="2"/>
  <c r="P40" i="2" s="1"/>
  <c r="M40" i="2"/>
  <c r="M59" i="2"/>
  <c r="N59" i="2"/>
  <c r="P59" i="2" s="1"/>
  <c r="N121" i="2"/>
  <c r="P121" i="2" s="1"/>
  <c r="M121" i="2"/>
  <c r="M114" i="2"/>
  <c r="N114" i="2"/>
  <c r="P114" i="2" s="1"/>
  <c r="N58" i="2"/>
  <c r="P58" i="2" s="1"/>
  <c r="M58" i="2"/>
  <c r="N89" i="2"/>
  <c r="P89" i="2" s="1"/>
  <c r="N111" i="2"/>
  <c r="P111" i="2" s="1"/>
  <c r="M111" i="2"/>
  <c r="N115" i="2"/>
  <c r="P115" i="2" s="1"/>
  <c r="M115" i="2"/>
  <c r="N101" i="2"/>
  <c r="P101" i="2" s="1"/>
  <c r="M101" i="2"/>
  <c r="N24" i="2"/>
  <c r="P24" i="2" s="1"/>
  <c r="M24" i="2"/>
  <c r="N95" i="2"/>
  <c r="P95" i="2" s="1"/>
  <c r="M95" i="2"/>
  <c r="N73" i="2"/>
  <c r="P73" i="2" s="1"/>
  <c r="M73" i="2"/>
  <c r="N112" i="2"/>
  <c r="P112" i="2" s="1"/>
  <c r="M112" i="2"/>
  <c r="M84" i="2"/>
  <c r="N84" i="2"/>
  <c r="P84" i="2" s="1"/>
  <c r="N46" i="2"/>
  <c r="P46" i="2" s="1"/>
  <c r="M46" i="2"/>
  <c r="N35" i="2"/>
  <c r="P35" i="2" s="1"/>
  <c r="M35" i="2"/>
  <c r="M23" i="2"/>
  <c r="N23" i="2"/>
  <c r="P23" i="2" s="1"/>
  <c r="N9" i="2"/>
  <c r="P9" i="2" s="1"/>
  <c r="N55" i="2"/>
  <c r="P55" i="2" s="1"/>
  <c r="N116" i="2"/>
  <c r="P116" i="2" s="1"/>
  <c r="N47" i="2"/>
  <c r="P47" i="2" s="1"/>
  <c r="M47" i="2"/>
  <c r="N30" i="2"/>
  <c r="P30" i="2" s="1"/>
  <c r="M30" i="2"/>
  <c r="M96" i="2"/>
  <c r="N96" i="2"/>
  <c r="P96" i="2" s="1"/>
  <c r="N97" i="2"/>
  <c r="P97" i="2" s="1"/>
  <c r="M97" i="2"/>
  <c r="M113" i="2"/>
  <c r="N113" i="2"/>
  <c r="P113" i="2" s="1"/>
  <c r="M90" i="2"/>
  <c r="N90" i="2"/>
  <c r="P90" i="2" s="1"/>
  <c r="M75" i="2"/>
  <c r="N75" i="2"/>
  <c r="P75" i="2" s="1"/>
  <c r="N14" i="2"/>
  <c r="P14" i="2" s="1"/>
  <c r="M14" i="2"/>
  <c r="M62" i="2"/>
  <c r="N62" i="2"/>
  <c r="P62" i="2" s="1"/>
  <c r="N41" i="2"/>
  <c r="P41" i="2" s="1"/>
  <c r="M41" i="2"/>
  <c r="N100" i="2"/>
  <c r="P100" i="2" s="1"/>
  <c r="M100" i="2"/>
  <c r="N91" i="2"/>
  <c r="P91" i="2" s="1"/>
  <c r="M91" i="2"/>
  <c r="N68" i="2"/>
  <c r="P68" i="2" s="1"/>
  <c r="M68" i="2"/>
  <c r="N5" i="2"/>
  <c r="P5" i="2" s="1"/>
  <c r="M5" i="2"/>
  <c r="N15" i="2"/>
  <c r="P15" i="2" s="1"/>
  <c r="M15" i="2"/>
  <c r="M28" i="2"/>
  <c r="N28" i="2"/>
  <c r="P28" i="2" s="1"/>
  <c r="N42" i="2"/>
  <c r="P42" i="2" s="1"/>
  <c r="M42" i="2"/>
  <c r="M29" i="2"/>
  <c r="N29" i="2"/>
  <c r="P29" i="2" s="1"/>
  <c r="M81" i="2"/>
  <c r="N81" i="2"/>
  <c r="P81" i="2" s="1"/>
  <c r="N25" i="2"/>
  <c r="P25" i="2" s="1"/>
  <c r="M25" i="2"/>
  <c r="N109" i="2"/>
  <c r="P109" i="2" s="1"/>
  <c r="M109" i="2"/>
  <c r="N19" i="2"/>
  <c r="P19" i="2" s="1"/>
  <c r="M19" i="2"/>
  <c r="N88" i="2"/>
  <c r="P88" i="2" s="1"/>
  <c r="M88" i="2"/>
  <c r="N71" i="2"/>
  <c r="P71" i="2" s="1"/>
  <c r="M71" i="2"/>
  <c r="N118" i="2"/>
  <c r="P118" i="2" s="1"/>
  <c r="M118" i="2"/>
  <c r="M108" i="2"/>
  <c r="N108" i="2"/>
  <c r="P108" i="2" s="1"/>
  <c r="M102" i="2"/>
  <c r="N102" i="2"/>
  <c r="P102" i="2" s="1"/>
  <c r="M66" i="2"/>
  <c r="N66" i="2"/>
  <c r="P66" i="2" s="1"/>
  <c r="M50" i="2"/>
  <c r="N50" i="2"/>
  <c r="P50" i="2" s="1"/>
  <c r="N38" i="2"/>
  <c r="P38" i="2" s="1"/>
  <c r="M38" i="2"/>
  <c r="N69" i="2"/>
  <c r="P69" i="2" s="1"/>
  <c r="N122" i="2"/>
  <c r="P122" i="2" s="1"/>
  <c r="M122" i="2"/>
  <c r="M18" i="2"/>
  <c r="N54" i="2"/>
  <c r="P54" i="2" s="1"/>
  <c r="N22" i="2"/>
  <c r="P22" i="2" s="1"/>
  <c r="N43" i="2"/>
  <c r="P43" i="2" s="1"/>
  <c r="M43" i="2"/>
  <c r="M60" i="2"/>
  <c r="N60" i="2"/>
  <c r="P60" i="2" s="1"/>
  <c r="M99" i="2"/>
  <c r="N99" i="2"/>
  <c r="P99" i="2" s="1"/>
  <c r="N64" i="2"/>
  <c r="P64" i="2" s="1"/>
  <c r="M64" i="2"/>
  <c r="M120" i="2"/>
  <c r="N120" i="2"/>
  <c r="P120" i="2" s="1"/>
  <c r="N70" i="2"/>
  <c r="P70" i="2" s="1"/>
  <c r="M70" i="2"/>
  <c r="N65" i="2"/>
  <c r="P65" i="2" s="1"/>
  <c r="M65" i="2"/>
  <c r="N17" i="2"/>
  <c r="P17" i="2" s="1"/>
  <c r="M17" i="2"/>
  <c r="N13" i="2"/>
  <c r="P13" i="2" s="1"/>
  <c r="M13" i="2"/>
  <c r="N85" i="2"/>
  <c r="P85" i="2" s="1"/>
  <c r="M85" i="2"/>
  <c r="N39" i="2"/>
  <c r="P39" i="2" s="1"/>
  <c r="M39" i="2"/>
  <c r="N26" i="2"/>
  <c r="P26" i="2" s="1"/>
  <c r="M26" i="2"/>
  <c r="N92" i="2"/>
  <c r="P92" i="2" s="1"/>
  <c r="M92" i="2"/>
  <c r="N83" i="2"/>
  <c r="P83" i="2" s="1"/>
  <c r="M83" i="2"/>
  <c r="N74" i="2"/>
  <c r="P74" i="2" s="1"/>
  <c r="M74" i="2"/>
  <c r="N49" i="2"/>
  <c r="P49" i="2" s="1"/>
  <c r="M49" i="2"/>
  <c r="N37" i="2"/>
  <c r="P37" i="2" s="1"/>
  <c r="M37" i="2"/>
  <c r="M93" i="2"/>
  <c r="N93" i="2"/>
  <c r="P93" i="2" s="1"/>
  <c r="N6" i="2"/>
  <c r="P6" i="2" s="1"/>
  <c r="N80" i="2"/>
  <c r="P80" i="2" s="1"/>
  <c r="M80" i="2"/>
  <c r="M63" i="2"/>
  <c r="N63" i="2"/>
  <c r="P63" i="2" s="1"/>
  <c r="M16" i="2"/>
  <c r="N27" i="2"/>
  <c r="P27" i="2" s="1"/>
  <c r="M27" i="2"/>
  <c r="N44" i="2"/>
  <c r="P44" i="2" s="1"/>
  <c r="M44" i="2"/>
  <c r="M61" i="2"/>
  <c r="N61" i="2"/>
  <c r="P61" i="2" s="1"/>
  <c r="M78" i="2"/>
  <c r="N78" i="2"/>
  <c r="P78" i="2" s="1"/>
  <c r="N79" i="2"/>
  <c r="P79" i="2" s="1"/>
  <c r="M79" i="2"/>
  <c r="N77" i="2"/>
  <c r="P77" i="2" s="1"/>
  <c r="M77" i="2"/>
  <c r="M53" i="2"/>
  <c r="N53" i="2"/>
  <c r="P53" i="2" s="1"/>
  <c r="N34" i="2"/>
  <c r="P34" i="2" s="1"/>
  <c r="M34" i="2"/>
  <c r="N11" i="2"/>
  <c r="P11" i="2" s="1"/>
  <c r="M11" i="2"/>
  <c r="M107" i="2"/>
  <c r="N107" i="2"/>
  <c r="P107" i="2" s="1"/>
  <c r="N94" i="2"/>
  <c r="P94" i="2" s="1"/>
  <c r="M94" i="2"/>
  <c r="N31" i="2"/>
  <c r="P31" i="2" s="1"/>
  <c r="M31" i="2"/>
  <c r="N103" i="2"/>
  <c r="P103" i="2" s="1"/>
  <c r="M103" i="2"/>
  <c r="N7" i="2"/>
  <c r="P7" i="2" s="1"/>
  <c r="M7" i="2"/>
  <c r="N106" i="2"/>
  <c r="P106" i="2" s="1"/>
  <c r="M106" i="2"/>
  <c r="N86" i="2"/>
  <c r="P86" i="2" s="1"/>
  <c r="M86" i="2"/>
  <c r="M72" i="2"/>
  <c r="N72" i="2"/>
  <c r="P72" i="2" s="1"/>
  <c r="N52" i="2"/>
  <c r="P52" i="2" s="1"/>
  <c r="M52" i="2"/>
  <c r="N51" i="2"/>
  <c r="P51" i="2" s="1"/>
  <c r="M119" i="2"/>
  <c r="N119" i="2"/>
  <c r="P119" i="2" s="1"/>
  <c r="N48" i="2"/>
  <c r="P48" i="2" s="1"/>
  <c r="M48" i="2"/>
  <c r="N36" i="2"/>
  <c r="P36" i="2" s="1"/>
  <c r="M36" i="2"/>
  <c r="M56" i="2"/>
  <c r="N56" i="2"/>
  <c r="P56" i="2" s="1"/>
  <c r="N117" i="2"/>
  <c r="P117" i="2" s="1"/>
  <c r="M117" i="2"/>
  <c r="N45" i="2"/>
  <c r="P45" i="2" s="1"/>
  <c r="M45" i="2"/>
  <c r="N12" i="2"/>
  <c r="P12" i="2" s="1"/>
  <c r="M12" i="2"/>
  <c r="N82" i="2"/>
  <c r="P82" i="2" s="1"/>
  <c r="M82" i="2"/>
  <c r="N98" i="2"/>
  <c r="P98" i="2" s="1"/>
  <c r="M98" i="2"/>
</calcChain>
</file>

<file path=xl/sharedStrings.xml><?xml version="1.0" encoding="utf-8"?>
<sst xmlns="http://schemas.openxmlformats.org/spreadsheetml/2006/main" count="630" uniqueCount="92">
  <si>
    <t>원단 ㎡당 단가표</t>
    <phoneticPr fontId="20" type="noConversion"/>
  </si>
  <si>
    <t>태림포장</t>
    <phoneticPr fontId="20" type="noConversion"/>
  </si>
  <si>
    <t>상자가공</t>
    <phoneticPr fontId="20" type="noConversion"/>
  </si>
  <si>
    <t>SW</t>
    <phoneticPr fontId="20" type="noConversion"/>
  </si>
  <si>
    <t>원지가 + 가공비 160원(운송포함)</t>
    <phoneticPr fontId="20" type="noConversion"/>
  </si>
  <si>
    <t>원단가공</t>
    <phoneticPr fontId="20" type="noConversion"/>
  </si>
  <si>
    <t>최대 50원</t>
    <phoneticPr fontId="20" type="noConversion"/>
  </si>
  <si>
    <t>일자 : 2017.06.21</t>
    <phoneticPr fontId="20" type="noConversion"/>
  </si>
  <si>
    <t>DW</t>
    <phoneticPr fontId="20" type="noConversion"/>
  </si>
  <si>
    <t>원지가 + 가공비 180원(운송포함)</t>
    <phoneticPr fontId="20" type="noConversion"/>
  </si>
  <si>
    <t>최대 70원</t>
    <phoneticPr fontId="20" type="noConversion"/>
  </si>
  <si>
    <t>단위 : ㎡, 원</t>
    <phoneticPr fontId="20" type="noConversion"/>
  </si>
  <si>
    <t>원재료비</t>
    <phoneticPr fontId="17" type="noConversion"/>
  </si>
  <si>
    <t>가공비</t>
    <phoneticPr fontId="25" type="noConversion"/>
  </si>
  <si>
    <t>단   가</t>
    <phoneticPr fontId="20" type="noConversion"/>
  </si>
  <si>
    <t>비   고</t>
    <phoneticPr fontId="17" type="noConversion"/>
  </si>
  <si>
    <t>평량
(g/㎡)</t>
    <phoneticPr fontId="16" type="noConversion"/>
  </si>
  <si>
    <t>A</t>
    <phoneticPr fontId="20" type="noConversion"/>
  </si>
  <si>
    <t>K180</t>
    <phoneticPr fontId="25" type="noConversion"/>
  </si>
  <si>
    <t>S120</t>
    <phoneticPr fontId="20" type="noConversion"/>
  </si>
  <si>
    <t>S120</t>
    <phoneticPr fontId="25" type="noConversion"/>
  </si>
  <si>
    <t>SK180</t>
    <phoneticPr fontId="25" type="noConversion"/>
  </si>
  <si>
    <t>K180</t>
    <phoneticPr fontId="20" type="noConversion"/>
  </si>
  <si>
    <t>백180</t>
    <phoneticPr fontId="20" type="noConversion"/>
  </si>
  <si>
    <t>KT160</t>
    <phoneticPr fontId="20" type="noConversion"/>
  </si>
  <si>
    <t>KT160</t>
    <phoneticPr fontId="25" type="noConversion"/>
  </si>
  <si>
    <t>황180</t>
    <phoneticPr fontId="20" type="noConversion"/>
  </si>
  <si>
    <t>황210</t>
    <phoneticPr fontId="17" type="noConversion"/>
  </si>
  <si>
    <t>SK210</t>
    <phoneticPr fontId="20" type="noConversion"/>
  </si>
  <si>
    <t>CK180</t>
    <phoneticPr fontId="20" type="noConversion"/>
  </si>
  <si>
    <t>KLB175</t>
    <phoneticPr fontId="20" type="noConversion"/>
  </si>
  <si>
    <t>KLB225</t>
    <phoneticPr fontId="20" type="noConversion"/>
  </si>
  <si>
    <t>KLB300</t>
    <phoneticPr fontId="20" type="noConversion"/>
  </si>
  <si>
    <t>SC220</t>
    <phoneticPr fontId="20" type="noConversion"/>
  </si>
  <si>
    <t>SC240</t>
    <phoneticPr fontId="20" type="noConversion"/>
  </si>
  <si>
    <t>홍220</t>
    <phoneticPr fontId="20" type="noConversion"/>
  </si>
  <si>
    <t>S120</t>
    <phoneticPr fontId="16" type="noConversion"/>
  </si>
  <si>
    <t>B150</t>
    <phoneticPr fontId="20" type="noConversion"/>
  </si>
  <si>
    <t>B150</t>
    <phoneticPr fontId="25" type="noConversion"/>
  </si>
  <si>
    <t>CK180</t>
    <phoneticPr fontId="25" type="noConversion"/>
  </si>
  <si>
    <t>K250</t>
    <phoneticPr fontId="20" type="noConversion"/>
  </si>
  <si>
    <t>B</t>
    <phoneticPr fontId="20" type="noConversion"/>
  </si>
  <si>
    <t>KLB175</t>
    <phoneticPr fontId="25" type="noConversion"/>
  </si>
  <si>
    <t>Ck180</t>
    <phoneticPr fontId="20" type="noConversion"/>
  </si>
  <si>
    <t>k180</t>
    <phoneticPr fontId="25" type="noConversion"/>
  </si>
  <si>
    <t>SK180</t>
    <phoneticPr fontId="20" type="noConversion"/>
  </si>
  <si>
    <t>홍220</t>
    <phoneticPr fontId="25" type="noConversion"/>
  </si>
  <si>
    <t>SK210</t>
    <phoneticPr fontId="25" type="noConversion"/>
  </si>
  <si>
    <t>E</t>
    <phoneticPr fontId="20" type="noConversion"/>
  </si>
  <si>
    <t>k180</t>
    <phoneticPr fontId="20" type="noConversion"/>
  </si>
  <si>
    <t>AB</t>
    <phoneticPr fontId="20" type="noConversion"/>
  </si>
  <si>
    <t>백180</t>
    <phoneticPr fontId="25" type="noConversion"/>
  </si>
  <si>
    <t>황180</t>
    <phoneticPr fontId="25" type="noConversion"/>
  </si>
  <si>
    <t>BB</t>
    <phoneticPr fontId="20" type="noConversion"/>
  </si>
  <si>
    <t>s120</t>
    <phoneticPr fontId="25" type="noConversion"/>
  </si>
  <si>
    <t>ck180</t>
    <phoneticPr fontId="20" type="noConversion"/>
  </si>
  <si>
    <t>EB</t>
    <phoneticPr fontId="20" type="noConversion"/>
  </si>
  <si>
    <t>SC220</t>
    <phoneticPr fontId="25" type="noConversion"/>
  </si>
  <si>
    <t>EB</t>
  </si>
  <si>
    <t>s120</t>
    <phoneticPr fontId="20" type="noConversion"/>
  </si>
  <si>
    <t>KLB225</t>
    <phoneticPr fontId="25" type="noConversion"/>
  </si>
  <si>
    <t>EF</t>
    <phoneticPr fontId="17" type="noConversion"/>
  </si>
  <si>
    <t>백180</t>
    <phoneticPr fontId="17" type="noConversion"/>
  </si>
  <si>
    <t>S120</t>
    <phoneticPr fontId="17" type="noConversion"/>
  </si>
  <si>
    <t>K180</t>
    <phoneticPr fontId="17" type="noConversion"/>
  </si>
  <si>
    <t>BF</t>
    <phoneticPr fontId="17" type="noConversion"/>
  </si>
  <si>
    <t>황180</t>
    <phoneticPr fontId="17" type="noConversion"/>
  </si>
  <si>
    <t>25.05.01 215원</t>
    <phoneticPr fontId="17" type="noConversion"/>
  </si>
  <si>
    <t>25.05.01 197원</t>
    <phoneticPr fontId="17" type="noConversion"/>
  </si>
  <si>
    <t>S110</t>
    <phoneticPr fontId="17" type="noConversion"/>
  </si>
  <si>
    <t>S110</t>
    <phoneticPr fontId="20" type="noConversion"/>
  </si>
  <si>
    <t>원지종류</t>
    <phoneticPr fontId="16" type="noConversion"/>
  </si>
  <si>
    <t>원지단가</t>
    <phoneticPr fontId="20" type="noConversion"/>
  </si>
  <si>
    <t>톤당금액</t>
    <phoneticPr fontId="20" type="noConversion"/>
  </si>
  <si>
    <t>표면지</t>
    <phoneticPr fontId="17" type="noConversion"/>
  </si>
  <si>
    <t>골심지1</t>
    <phoneticPr fontId="17" type="noConversion"/>
  </si>
  <si>
    <t>중심지</t>
    <phoneticPr fontId="17" type="noConversion"/>
  </si>
  <si>
    <t>골심지2</t>
    <phoneticPr fontId="17" type="noConversion"/>
  </si>
  <si>
    <t>이면지</t>
    <phoneticPr fontId="17" type="noConversion"/>
  </si>
  <si>
    <t>K200</t>
    <phoneticPr fontId="20" type="noConversion"/>
  </si>
  <si>
    <t>골</t>
    <phoneticPr fontId="17" type="noConversion"/>
  </si>
  <si>
    <t>원재료비+10%Loss</t>
    <phoneticPr fontId="17" type="noConversion"/>
  </si>
  <si>
    <t>표면원지가</t>
    <phoneticPr fontId="17" type="noConversion"/>
  </si>
  <si>
    <t>골심1원지가</t>
    <phoneticPr fontId="17" type="noConversion"/>
  </si>
  <si>
    <t>골심2원지가</t>
    <phoneticPr fontId="17" type="noConversion"/>
  </si>
  <si>
    <t>중심원지가</t>
    <phoneticPr fontId="17" type="noConversion"/>
  </si>
  <si>
    <t>이면원지가</t>
    <phoneticPr fontId="17" type="noConversion"/>
  </si>
  <si>
    <t>(S기준)가공비 80원</t>
    <phoneticPr fontId="20" type="noConversion"/>
  </si>
  <si>
    <t>(S기준)가공비 60원</t>
    <phoneticPr fontId="20" type="noConversion"/>
  </si>
  <si>
    <t>(S현재) 80원</t>
    <phoneticPr fontId="17" type="noConversion"/>
  </si>
  <si>
    <t>(S현재) 100원</t>
    <phoneticPr fontId="17" type="noConversion"/>
  </si>
  <si>
    <t>일자 : 2026.04.27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</si>
</sst>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0.000000"/>
    <numFmt numFmtId="177" formatCode="&quot;₩&quot;#,##0;&quot;₩&quot;\-#,##0"/>
    <numFmt numFmtId="178" formatCode="_ * #,##0_ ;_ * \-#,##0_ ;_ * &quot;-&quot;_ ;_ @_ "/>
    <numFmt numFmtId="179" formatCode="_ * #,##0.00_ ;_ * \-#,##0.00_ ;_ * &quot;-&quot;??_ ;_ @_ "/>
    <numFmt numFmtId="180" formatCode="#,##0_);\(#,##0\)"/>
    <numFmt numFmtId="181" formatCode="_(* #,##0.00_);_(* \(#,##0.00\);_(* &quot;-&quot;??_);_(@_)"/>
    <numFmt numFmtId="182" formatCode="#."/>
    <numFmt numFmtId="183" formatCode="_-* #,##0.00_-;\-* #,##0.00_-;_-* &quot;-&quot;_-;_-@_-"/>
    <numFmt numFmtId="184" formatCode="#,##0_ "/>
    <numFmt numFmtId="185" formatCode="#,##0.00_ "/>
  </numFmts>
  <fonts count="3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"/>
      <color indexed="8"/>
      <name val="Courier"/>
      <family val="3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2"/>
      <name val="명조"/>
      <family val="3"/>
      <charset val="129"/>
    </font>
    <font>
      <sz val="10"/>
      <name val="MS Sans Serif"/>
      <family val="2"/>
    </font>
    <font>
      <sz val="1"/>
      <color indexed="0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sz val="8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name val="굴림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체"/>
      <family val="3"/>
      <charset val="129"/>
    </font>
    <font>
      <b/>
      <sz val="10"/>
      <name val="굴림"/>
      <family val="3"/>
      <charset val="129"/>
    </font>
    <font>
      <sz val="12"/>
      <name val="굴림체"/>
      <family val="3"/>
      <charset val="129"/>
    </font>
    <font>
      <sz val="8"/>
      <name val="굴림"/>
      <family val="3"/>
      <charset val="129"/>
    </font>
    <font>
      <sz val="9"/>
      <name val="굴림"/>
      <family val="3"/>
      <charset val="129"/>
    </font>
    <font>
      <b/>
      <sz val="10"/>
      <color rgb="FFFF0000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7">
    <xf numFmtId="0" fontId="0" fillId="0" borderId="0">
      <alignment vertical="center"/>
    </xf>
    <xf numFmtId="0" fontId="1" fillId="0" borderId="0"/>
    <xf numFmtId="181" fontId="3" fillId="0" borderId="1">
      <protection locked="0"/>
    </xf>
    <xf numFmtId="0" fontId="1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182" fontId="13" fillId="0" borderId="0">
      <protection locked="0"/>
    </xf>
    <xf numFmtId="38" fontId="14" fillId="2" borderId="0" applyNumberFormat="0" applyBorder="0" applyAlignment="0" applyProtection="0"/>
    <xf numFmtId="0" fontId="15" fillId="0" borderId="2" applyNumberFormat="0" applyAlignment="0" applyProtection="0">
      <alignment horizontal="left" vertical="center"/>
    </xf>
    <xf numFmtId="0" fontId="15" fillId="0" borderId="3">
      <alignment horizontal="left" vertical="center"/>
    </xf>
    <xf numFmtId="10" fontId="14" fillId="3" borderId="4" applyNumberFormat="0" applyBorder="0" applyAlignment="0" applyProtection="0"/>
    <xf numFmtId="176" fontId="4" fillId="0" borderId="0"/>
    <xf numFmtId="182" fontId="13" fillId="0" borderId="0">
      <protection locked="0"/>
    </xf>
    <xf numFmtId="10" fontId="2" fillId="0" borderId="0" applyFont="0" applyFill="0" applyBorder="0" applyAlignment="0" applyProtection="0"/>
    <xf numFmtId="0" fontId="4" fillId="0" borderId="0"/>
    <xf numFmtId="2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" fontId="3" fillId="0" borderId="0" applyFont="0" applyFill="0" applyBorder="0" applyAlignment="0" applyProtection="0"/>
    <xf numFmtId="0" fontId="4" fillId="0" borderId="0"/>
    <xf numFmtId="0" fontId="4" fillId="0" borderId="0"/>
    <xf numFmtId="4" fontId="8" fillId="0" borderId="0">
      <protection locked="0"/>
    </xf>
    <xf numFmtId="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" fillId="0" borderId="5" applyNumberFormat="0" applyFont="0" applyFill="0" applyAlignment="0" applyProtection="0"/>
    <xf numFmtId="180" fontId="11" fillId="0" borderId="0" applyFont="0" applyFill="0" applyBorder="0" applyAlignment="0" applyProtection="0"/>
    <xf numFmtId="177" fontId="3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82">
    <xf numFmtId="0" fontId="0" fillId="0" borderId="0" xfId="0">
      <alignment vertical="center"/>
    </xf>
    <xf numFmtId="41" fontId="0" fillId="0" borderId="0" xfId="35" applyFont="1" applyFill="1" applyAlignment="1">
      <alignment horizontal="center" vertical="center"/>
    </xf>
    <xf numFmtId="183" fontId="0" fillId="0" borderId="0" xfId="35" applyNumberFormat="1" applyFont="1" applyFill="1" applyAlignment="1">
      <alignment horizontal="center" vertical="center"/>
    </xf>
    <xf numFmtId="41" fontId="21" fillId="0" borderId="0" xfId="35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41" fontId="23" fillId="0" borderId="0" xfId="35" applyFont="1" applyFill="1" applyAlignment="1">
      <alignment horizontal="center" vertical="center"/>
    </xf>
    <xf numFmtId="183" fontId="23" fillId="0" borderId="0" xfId="35" applyNumberFormat="1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41" fontId="23" fillId="0" borderId="0" xfId="35" applyFont="1" applyFill="1" applyAlignment="1">
      <alignment horizontal="right" vertical="center"/>
    </xf>
    <xf numFmtId="41" fontId="23" fillId="0" borderId="11" xfId="35" applyFont="1" applyFill="1" applyBorder="1" applyAlignment="1">
      <alignment horizontal="center" vertical="center"/>
    </xf>
    <xf numFmtId="41" fontId="23" fillId="0" borderId="12" xfId="35" applyFont="1" applyFill="1" applyBorder="1" applyAlignment="1">
      <alignment horizontal="center" vertical="center"/>
    </xf>
    <xf numFmtId="41" fontId="21" fillId="0" borderId="13" xfId="35" applyFont="1" applyFill="1" applyBorder="1" applyAlignment="1">
      <alignment horizontal="center" vertical="center"/>
    </xf>
    <xf numFmtId="183" fontId="21" fillId="0" borderId="13" xfId="35" applyNumberFormat="1" applyFont="1" applyFill="1" applyBorder="1" applyAlignment="1">
      <alignment horizontal="center" vertical="center"/>
    </xf>
    <xf numFmtId="41" fontId="23" fillId="0" borderId="13" xfId="35" applyFont="1" applyFill="1" applyBorder="1" applyAlignment="1">
      <alignment horizontal="center" vertical="center"/>
    </xf>
    <xf numFmtId="41" fontId="23" fillId="0" borderId="14" xfId="35" applyFont="1" applyFill="1" applyBorder="1" applyAlignment="1">
      <alignment horizontal="center" vertical="center"/>
    </xf>
    <xf numFmtId="0" fontId="26" fillId="5" borderId="6" xfId="0" applyFont="1" applyFill="1" applyBorder="1">
      <alignment vertical="center"/>
    </xf>
    <xf numFmtId="184" fontId="26" fillId="5" borderId="7" xfId="0" applyNumberFormat="1" applyFont="1" applyFill="1" applyBorder="1" applyAlignment="1">
      <alignment horizontal="right" vertical="center"/>
    </xf>
    <xf numFmtId="185" fontId="26" fillId="5" borderId="15" xfId="0" applyNumberFormat="1" applyFont="1" applyFill="1" applyBorder="1">
      <alignment vertical="center"/>
    </xf>
    <xf numFmtId="41" fontId="23" fillId="0" borderId="16" xfId="35" applyFont="1" applyFill="1" applyBorder="1" applyAlignment="1">
      <alignment horizontal="center" vertical="center"/>
    </xf>
    <xf numFmtId="41" fontId="23" fillId="0" borderId="17" xfId="35" applyFont="1" applyFill="1" applyBorder="1" applyAlignment="1">
      <alignment horizontal="center" vertical="center"/>
    </xf>
    <xf numFmtId="41" fontId="21" fillId="0" borderId="18" xfId="35" applyFont="1" applyFill="1" applyBorder="1" applyAlignment="1">
      <alignment horizontal="center" vertical="center"/>
    </xf>
    <xf numFmtId="183" fontId="21" fillId="0" borderId="18" xfId="35" applyNumberFormat="1" applyFont="1" applyFill="1" applyBorder="1" applyAlignment="1">
      <alignment horizontal="center" vertical="center"/>
    </xf>
    <xf numFmtId="41" fontId="23" fillId="0" borderId="18" xfId="35" applyFont="1" applyFill="1" applyBorder="1" applyAlignment="1">
      <alignment horizontal="center" vertical="center"/>
    </xf>
    <xf numFmtId="41" fontId="23" fillId="0" borderId="19" xfId="35" applyFont="1" applyFill="1" applyBorder="1" applyAlignment="1">
      <alignment horizontal="center" vertical="center"/>
    </xf>
    <xf numFmtId="0" fontId="26" fillId="5" borderId="8" xfId="0" applyFont="1" applyFill="1" applyBorder="1">
      <alignment vertical="center"/>
    </xf>
    <xf numFmtId="184" fontId="26" fillId="5" borderId="4" xfId="0" applyNumberFormat="1" applyFont="1" applyFill="1" applyBorder="1" applyAlignment="1">
      <alignment horizontal="right" vertical="center"/>
    </xf>
    <xf numFmtId="0" fontId="26" fillId="5" borderId="8" xfId="0" applyFont="1" applyFill="1" applyBorder="1" applyAlignment="1">
      <alignment horizontal="left" vertical="center"/>
    </xf>
    <xf numFmtId="184" fontId="26" fillId="5" borderId="4" xfId="0" applyNumberFormat="1" applyFont="1" applyFill="1" applyBorder="1">
      <alignment vertical="center"/>
    </xf>
    <xf numFmtId="185" fontId="26" fillId="5" borderId="20" xfId="0" applyNumberFormat="1" applyFont="1" applyFill="1" applyBorder="1">
      <alignment vertical="center"/>
    </xf>
    <xf numFmtId="41" fontId="26" fillId="5" borderId="8" xfId="35" applyFont="1" applyFill="1" applyBorder="1" applyAlignment="1">
      <alignment horizontal="left" vertical="center"/>
    </xf>
    <xf numFmtId="41" fontId="26" fillId="5" borderId="4" xfId="35" applyFont="1" applyFill="1" applyBorder="1" applyAlignment="1">
      <alignment vertical="center"/>
    </xf>
    <xf numFmtId="41" fontId="21" fillId="0" borderId="19" xfId="35" applyFont="1" applyFill="1" applyBorder="1" applyAlignment="1">
      <alignment horizontal="center" vertical="center"/>
    </xf>
    <xf numFmtId="41" fontId="26" fillId="5" borderId="21" xfId="35" applyFont="1" applyFill="1" applyBorder="1" applyAlignment="1">
      <alignment horizontal="left" vertical="center"/>
    </xf>
    <xf numFmtId="41" fontId="26" fillId="5" borderId="9" xfId="35" applyFont="1" applyFill="1" applyBorder="1" applyAlignment="1">
      <alignment vertical="center"/>
    </xf>
    <xf numFmtId="0" fontId="26" fillId="5" borderId="22" xfId="0" applyFont="1" applyFill="1" applyBorder="1">
      <alignment vertical="center"/>
    </xf>
    <xf numFmtId="184" fontId="26" fillId="5" borderId="4" xfId="35" applyNumberFormat="1" applyFont="1" applyFill="1" applyBorder="1" applyAlignment="1">
      <alignment vertical="center"/>
    </xf>
    <xf numFmtId="185" fontId="26" fillId="5" borderId="20" xfId="0" applyNumberFormat="1" applyFont="1" applyFill="1" applyBorder="1" applyAlignment="1">
      <alignment horizontal="right" vertical="center"/>
    </xf>
    <xf numFmtId="183" fontId="26" fillId="5" borderId="20" xfId="35" applyNumberFormat="1" applyFont="1" applyFill="1" applyBorder="1" applyAlignment="1">
      <alignment horizontal="right" vertical="center"/>
    </xf>
    <xf numFmtId="41" fontId="26" fillId="5" borderId="23" xfId="35" applyFont="1" applyFill="1" applyBorder="1" applyAlignment="1">
      <alignment horizontal="left" vertical="center"/>
    </xf>
    <xf numFmtId="41" fontId="26" fillId="5" borderId="24" xfId="35" applyFont="1" applyFill="1" applyBorder="1" applyAlignment="1">
      <alignment vertical="center"/>
    </xf>
    <xf numFmtId="183" fontId="26" fillId="5" borderId="25" xfId="35" applyNumberFormat="1" applyFont="1" applyFill="1" applyBorder="1" applyAlignment="1">
      <alignment horizontal="right" vertical="center"/>
    </xf>
    <xf numFmtId="41" fontId="26" fillId="0" borderId="0" xfId="35" applyFont="1" applyFill="1" applyBorder="1" applyAlignment="1">
      <alignment horizontal="center" vertical="center"/>
    </xf>
    <xf numFmtId="183" fontId="26" fillId="0" borderId="0" xfId="35" applyNumberFormat="1" applyFont="1" applyFill="1" applyBorder="1" applyAlignment="1">
      <alignment horizontal="center" vertical="center"/>
    </xf>
    <xf numFmtId="41" fontId="27" fillId="0" borderId="16" xfId="35" applyFont="1" applyFill="1" applyBorder="1" applyAlignment="1">
      <alignment horizontal="center" vertical="center"/>
    </xf>
    <xf numFmtId="41" fontId="21" fillId="0" borderId="0" xfId="35" applyFont="1" applyFill="1" applyBorder="1" applyAlignment="1">
      <alignment horizontal="center" vertical="center"/>
    </xf>
    <xf numFmtId="41" fontId="23" fillId="0" borderId="26" xfId="35" applyFont="1" applyFill="1" applyBorder="1" applyAlignment="1">
      <alignment horizontal="center" vertical="center"/>
    </xf>
    <xf numFmtId="41" fontId="21" fillId="0" borderId="27" xfId="35" applyFont="1" applyFill="1" applyBorder="1" applyAlignment="1">
      <alignment horizontal="center" vertical="center"/>
    </xf>
    <xf numFmtId="183" fontId="21" fillId="0" borderId="27" xfId="35" applyNumberFormat="1" applyFont="1" applyFill="1" applyBorder="1" applyAlignment="1">
      <alignment horizontal="center" vertical="center"/>
    </xf>
    <xf numFmtId="41" fontId="21" fillId="0" borderId="28" xfId="35" applyFont="1" applyFill="1" applyBorder="1" applyAlignment="1">
      <alignment horizontal="center" vertical="center"/>
    </xf>
    <xf numFmtId="41" fontId="23" fillId="0" borderId="27" xfId="35" applyFont="1" applyFill="1" applyBorder="1" applyAlignment="1">
      <alignment horizontal="center" vertical="center"/>
    </xf>
    <xf numFmtId="41" fontId="21" fillId="0" borderId="29" xfId="35" applyFont="1" applyFill="1" applyBorder="1" applyAlignment="1">
      <alignment horizontal="center" vertical="center"/>
    </xf>
    <xf numFmtId="183" fontId="21" fillId="0" borderId="30" xfId="35" applyNumberFormat="1" applyFont="1" applyFill="1" applyBorder="1" applyAlignment="1">
      <alignment horizontal="center" vertical="center"/>
    </xf>
    <xf numFmtId="41" fontId="23" fillId="0" borderId="31" xfId="35" applyFont="1" applyFill="1" applyBorder="1" applyAlignment="1">
      <alignment horizontal="center" vertical="center"/>
    </xf>
    <xf numFmtId="41" fontId="23" fillId="0" borderId="0" xfId="35" applyFont="1" applyFill="1" applyBorder="1" applyAlignment="1">
      <alignment horizontal="center" vertical="center"/>
    </xf>
    <xf numFmtId="41" fontId="23" fillId="0" borderId="32" xfId="35" applyFont="1" applyFill="1" applyBorder="1" applyAlignment="1">
      <alignment horizontal="center" vertical="center"/>
    </xf>
    <xf numFmtId="41" fontId="21" fillId="0" borderId="33" xfId="35" applyFont="1" applyFill="1" applyBorder="1" applyAlignment="1">
      <alignment horizontal="center" vertical="center"/>
    </xf>
    <xf numFmtId="183" fontId="21" fillId="0" borderId="33" xfId="35" applyNumberFormat="1" applyFont="1" applyFill="1" applyBorder="1" applyAlignment="1">
      <alignment horizontal="center" vertical="center"/>
    </xf>
    <xf numFmtId="183" fontId="21" fillId="0" borderId="34" xfId="35" applyNumberFormat="1" applyFont="1" applyFill="1" applyBorder="1" applyAlignment="1">
      <alignment horizontal="center" vertical="center"/>
    </xf>
    <xf numFmtId="183" fontId="21" fillId="0" borderId="35" xfId="35" applyNumberFormat="1" applyFont="1" applyFill="1" applyBorder="1" applyAlignment="1">
      <alignment horizontal="center" vertical="center"/>
    </xf>
    <xf numFmtId="41" fontId="23" fillId="0" borderId="33" xfId="35" applyFont="1" applyFill="1" applyBorder="1" applyAlignment="1">
      <alignment horizontal="center" vertical="center"/>
    </xf>
    <xf numFmtId="41" fontId="21" fillId="0" borderId="36" xfId="35" applyFont="1" applyFill="1" applyBorder="1" applyAlignment="1">
      <alignment horizontal="center" vertical="center"/>
    </xf>
    <xf numFmtId="41" fontId="23" fillId="0" borderId="37" xfId="35" applyFont="1" applyFill="1" applyBorder="1" applyAlignment="1">
      <alignment horizontal="center" vertical="center"/>
    </xf>
    <xf numFmtId="183" fontId="21" fillId="0" borderId="0" xfId="35" applyNumberFormat="1" applyFont="1" applyFill="1" applyAlignment="1">
      <alignment horizontal="center" vertical="center"/>
    </xf>
    <xf numFmtId="41" fontId="23" fillId="4" borderId="38" xfId="35" applyFont="1" applyFill="1" applyBorder="1" applyAlignment="1">
      <alignment horizontal="center" vertical="center"/>
    </xf>
    <xf numFmtId="41" fontId="23" fillId="4" borderId="39" xfId="35" applyFont="1" applyFill="1" applyBorder="1" applyAlignment="1">
      <alignment horizontal="center" vertical="center"/>
    </xf>
    <xf numFmtId="41" fontId="23" fillId="4" borderId="40" xfId="35" applyFont="1" applyFill="1" applyBorder="1" applyAlignment="1">
      <alignment horizontal="center" vertical="center" wrapText="1"/>
    </xf>
    <xf numFmtId="41" fontId="23" fillId="4" borderId="22" xfId="35" applyFont="1" applyFill="1" applyBorder="1" applyAlignment="1">
      <alignment horizontal="center" vertical="center"/>
    </xf>
    <xf numFmtId="41" fontId="23" fillId="4" borderId="4" xfId="35" applyFont="1" applyFill="1" applyBorder="1" applyAlignment="1">
      <alignment horizontal="center" vertical="center"/>
    </xf>
    <xf numFmtId="183" fontId="23" fillId="4" borderId="4" xfId="35" applyNumberFormat="1" applyFont="1" applyFill="1" applyBorder="1" applyAlignment="1">
      <alignment horizontal="center" vertical="center"/>
    </xf>
    <xf numFmtId="183" fontId="23" fillId="4" borderId="4" xfId="35" applyNumberFormat="1" applyFont="1" applyFill="1" applyBorder="1" applyAlignment="1">
      <alignment horizontal="center" vertical="center" wrapText="1"/>
    </xf>
    <xf numFmtId="41" fontId="26" fillId="0" borderId="41" xfId="35" applyFont="1" applyFill="1" applyBorder="1" applyAlignment="1">
      <alignment horizontal="center" vertical="center"/>
    </xf>
    <xf numFmtId="41" fontId="26" fillId="0" borderId="42" xfId="35" applyFont="1" applyFill="1" applyBorder="1" applyAlignment="1">
      <alignment horizontal="center" vertical="center" wrapText="1"/>
    </xf>
    <xf numFmtId="41" fontId="28" fillId="0" borderId="42" xfId="35" applyFont="1" applyFill="1" applyBorder="1" applyAlignment="1">
      <alignment horizontal="center" vertical="center" wrapText="1"/>
    </xf>
    <xf numFmtId="183" fontId="26" fillId="0" borderId="43" xfId="35" applyNumberFormat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183" fontId="23" fillId="4" borderId="4" xfId="35" applyNumberFormat="1" applyFont="1" applyFill="1" applyBorder="1" applyAlignment="1">
      <alignment vertical="center"/>
    </xf>
    <xf numFmtId="41" fontId="19" fillId="0" borderId="0" xfId="35" applyFont="1" applyFill="1" applyAlignment="1">
      <alignment horizontal="center" vertical="center"/>
    </xf>
    <xf numFmtId="41" fontId="23" fillId="0" borderId="0" xfId="35" applyFont="1" applyFill="1" applyAlignment="1">
      <alignment horizontal="center" vertical="center"/>
    </xf>
    <xf numFmtId="41" fontId="23" fillId="0" borderId="10" xfId="35" applyFont="1" applyFill="1" applyBorder="1" applyAlignment="1">
      <alignment horizontal="center" vertical="center"/>
    </xf>
    <xf numFmtId="183" fontId="23" fillId="0" borderId="0" xfId="35" applyNumberFormat="1" applyFont="1" applyFill="1" applyAlignment="1">
      <alignment horizontal="center" vertical="center"/>
    </xf>
    <xf numFmtId="183" fontId="23" fillId="0" borderId="10" xfId="35" applyNumberFormat="1" applyFont="1" applyFill="1" applyBorder="1" applyAlignment="1">
      <alignment horizontal="center" vertical="center"/>
    </xf>
    <xf numFmtId="41" fontId="26" fillId="5" borderId="8" xfId="35" applyFont="1" applyFill="1" applyBorder="1" applyAlignment="1">
      <alignment vertical="center"/>
    </xf>
  </cellXfs>
  <cellStyles count="37">
    <cellStyle name="??_x000c_@?_x000d_3?_x0001__x000b_" xfId="2" xr:uid="{00000000-0005-0000-0000-000000000000}"/>
    <cellStyle name="Comma [0]" xfId="3" xr:uid="{00000000-0005-0000-0000-000001000000}"/>
    <cellStyle name="Comma_laroux" xfId="4" xr:uid="{00000000-0005-0000-0000-000002000000}"/>
    <cellStyle name="Currency [0]" xfId="5" xr:uid="{00000000-0005-0000-0000-000003000000}"/>
    <cellStyle name="Currency_larou" xfId="6" xr:uid="{00000000-0005-0000-0000-000004000000}"/>
    <cellStyle name="Grey" xfId="7" xr:uid="{00000000-0005-0000-0000-000005000000}"/>
    <cellStyle name="Header1" xfId="8" xr:uid="{00000000-0005-0000-0000-000006000000}"/>
    <cellStyle name="Header2" xfId="9" xr:uid="{00000000-0005-0000-0000-000007000000}"/>
    <cellStyle name="Input [yellow]" xfId="10" xr:uid="{00000000-0005-0000-0000-000008000000}"/>
    <cellStyle name="Normal - Style1" xfId="11" xr:uid="{00000000-0005-0000-0000-000009000000}"/>
    <cellStyle name="Normal_certs q" xfId="12" xr:uid="{00000000-0005-0000-0000-00000A000000}"/>
    <cellStyle name="Percent [2]" xfId="13" xr:uid="{00000000-0005-0000-0000-00000B000000}"/>
    <cellStyle name="고정소 - 유형2" xfId="14" xr:uid="{00000000-0005-0000-0000-00000C000000}"/>
    <cellStyle name="고정소숫점" xfId="15" xr:uid="{00000000-0005-0000-0000-00000D000000}"/>
    <cellStyle name="고정출력1" xfId="16" xr:uid="{00000000-0005-0000-0000-00000E000000}"/>
    <cellStyle name="고정출력2" xfId="17" xr:uid="{00000000-0005-0000-0000-00000F000000}"/>
    <cellStyle name="날짜" xfId="18" xr:uid="{00000000-0005-0000-0000-000010000000}"/>
    <cellStyle name="달러" xfId="19" xr:uid="{00000000-0005-0000-0000-000011000000}"/>
    <cellStyle name="뒤에 오는 하이퍼링크_3월 메일송신" xfId="20" xr:uid="{00000000-0005-0000-0000-000012000000}"/>
    <cellStyle name="백분율 2" xfId="21" xr:uid="{00000000-0005-0000-0000-000013000000}"/>
    <cellStyle name="쉼표 [0]" xfId="35" builtinId="6"/>
    <cellStyle name="쉼표 [0] 2" xfId="22" xr:uid="{00000000-0005-0000-0000-000014000000}"/>
    <cellStyle name="스타일 1" xfId="23" xr:uid="{00000000-0005-0000-0000-000015000000}"/>
    <cellStyle name="자리수" xfId="24" xr:uid="{00000000-0005-0000-0000-000016000000}"/>
    <cellStyle name="자리수 - 유형1" xfId="25" xr:uid="{00000000-0005-0000-0000-000017000000}"/>
    <cellStyle name="자리수 - 유형3" xfId="26" xr:uid="{00000000-0005-0000-0000-000018000000}"/>
    <cellStyle name="자리수_laroux" xfId="27" xr:uid="{00000000-0005-0000-0000-000019000000}"/>
    <cellStyle name="자리수0" xfId="28" xr:uid="{00000000-0005-0000-0000-00001A000000}"/>
    <cellStyle name="콤마 [0]_(월초P)" xfId="29" xr:uid="{00000000-0005-0000-0000-00001B000000}"/>
    <cellStyle name="콤마_0001매출분석" xfId="30" xr:uid="{00000000-0005-0000-0000-00001C000000}"/>
    <cellStyle name="퍼센트" xfId="31" xr:uid="{00000000-0005-0000-0000-00001D000000}"/>
    <cellStyle name="표준" xfId="0" builtinId="0"/>
    <cellStyle name="표준 2" xfId="1" xr:uid="{00000000-0005-0000-0000-00001F000000}"/>
    <cellStyle name="표준 50" xfId="36" xr:uid="{BA8611B1-9AEB-43FB-A3CE-38957494518A}"/>
    <cellStyle name="합산" xfId="32" xr:uid="{00000000-0005-0000-0000-000020000000}"/>
    <cellStyle name="화폐기호" xfId="33" xr:uid="{00000000-0005-0000-0000-000021000000}"/>
    <cellStyle name="화폐기호0" xfId="34" xr:uid="{00000000-0005-0000-0000-00002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3"/>
  <sheetViews>
    <sheetView tabSelected="1" topLeftCell="B1" workbookViewId="0">
      <selection activeCell="B3" sqref="B3"/>
    </sheetView>
  </sheetViews>
  <sheetFormatPr defaultRowHeight="17.399999999999999"/>
  <cols>
    <col min="1" max="1" width="0" hidden="1" customWidth="1"/>
    <col min="8" max="8" width="10.3984375" bestFit="1" customWidth="1"/>
    <col min="9" max="9" width="11.69921875" customWidth="1"/>
    <col min="10" max="10" width="10" customWidth="1"/>
    <col min="11" max="11" width="10.8984375" customWidth="1"/>
    <col min="12" max="12" width="10" customWidth="1"/>
    <col min="14" max="14" width="16.59765625" customWidth="1"/>
    <col min="15" max="15" width="9.09765625" customWidth="1"/>
    <col min="16" max="16" width="12.59765625" customWidth="1"/>
    <col min="17" max="17" width="17.19921875" customWidth="1"/>
    <col min="22" max="22" width="10.69921875" customWidth="1"/>
  </cols>
  <sheetData>
    <row r="1" spans="1:26" ht="22.2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1"/>
      <c r="S1" s="1"/>
      <c r="T1" s="1"/>
      <c r="U1" s="2"/>
      <c r="V1" s="3"/>
    </row>
    <row r="2" spans="1:26">
      <c r="A2" s="4"/>
      <c r="B2" s="4" t="s">
        <v>1</v>
      </c>
      <c r="C2" s="3"/>
      <c r="D2" s="3"/>
      <c r="E2" s="3"/>
      <c r="F2" s="77" t="s">
        <v>2</v>
      </c>
      <c r="G2" s="5" t="s">
        <v>3</v>
      </c>
      <c r="H2" s="79" t="s">
        <v>4</v>
      </c>
      <c r="I2" s="79"/>
      <c r="J2" s="79"/>
      <c r="K2" s="6"/>
      <c r="L2" s="6" t="s">
        <v>5</v>
      </c>
      <c r="M2" s="6" t="s">
        <v>3</v>
      </c>
      <c r="N2" s="6" t="s">
        <v>88</v>
      </c>
      <c r="O2" s="5" t="s">
        <v>6</v>
      </c>
      <c r="P2" s="5" t="s">
        <v>89</v>
      </c>
      <c r="Q2" s="3"/>
      <c r="R2" s="1"/>
      <c r="S2" s="1"/>
      <c r="T2" s="1"/>
      <c r="U2" s="2"/>
      <c r="V2" s="3"/>
    </row>
    <row r="3" spans="1:26" ht="18" thickBot="1">
      <c r="A3" s="7" t="s">
        <v>7</v>
      </c>
      <c r="B3" s="7" t="s">
        <v>91</v>
      </c>
      <c r="C3" s="3"/>
      <c r="D3" s="3"/>
      <c r="E3" s="3"/>
      <c r="F3" s="78"/>
      <c r="G3" s="5" t="s">
        <v>8</v>
      </c>
      <c r="H3" s="80" t="s">
        <v>9</v>
      </c>
      <c r="I3" s="80"/>
      <c r="J3" s="80"/>
      <c r="K3" s="6"/>
      <c r="L3" s="6"/>
      <c r="M3" s="6" t="s">
        <v>8</v>
      </c>
      <c r="N3" s="6" t="s">
        <v>87</v>
      </c>
      <c r="O3" s="5" t="s">
        <v>10</v>
      </c>
      <c r="P3" s="5" t="s">
        <v>90</v>
      </c>
      <c r="Q3" s="8" t="s">
        <v>11</v>
      </c>
      <c r="R3" s="1"/>
      <c r="S3" s="1"/>
      <c r="T3" s="1"/>
      <c r="U3" s="2"/>
      <c r="V3" s="3"/>
    </row>
    <row r="4" spans="1:26" ht="26.4">
      <c r="A4" s="63"/>
      <c r="B4" s="66" t="s">
        <v>80</v>
      </c>
      <c r="C4" s="67" t="s">
        <v>74</v>
      </c>
      <c r="D4" s="67" t="s">
        <v>75</v>
      </c>
      <c r="E4" s="67" t="s">
        <v>76</v>
      </c>
      <c r="F4" s="67" t="s">
        <v>77</v>
      </c>
      <c r="G4" s="67" t="s">
        <v>78</v>
      </c>
      <c r="H4" s="68" t="s">
        <v>82</v>
      </c>
      <c r="I4" s="68" t="s">
        <v>83</v>
      </c>
      <c r="J4" s="68" t="s">
        <v>85</v>
      </c>
      <c r="K4" s="68" t="s">
        <v>84</v>
      </c>
      <c r="L4" s="68" t="s">
        <v>86</v>
      </c>
      <c r="M4" s="75" t="s">
        <v>12</v>
      </c>
      <c r="N4" s="69" t="s">
        <v>81</v>
      </c>
      <c r="O4" s="64" t="s">
        <v>13</v>
      </c>
      <c r="P4" s="64" t="s">
        <v>14</v>
      </c>
      <c r="Q4" s="65" t="s">
        <v>15</v>
      </c>
      <c r="R4" s="70" t="s">
        <v>71</v>
      </c>
      <c r="S4" s="71" t="s">
        <v>16</v>
      </c>
      <c r="T4" s="72" t="s">
        <v>73</v>
      </c>
      <c r="U4" s="73" t="s">
        <v>72</v>
      </c>
      <c r="V4" s="3"/>
    </row>
    <row r="5" spans="1:26">
      <c r="A5" s="9">
        <v>1</v>
      </c>
      <c r="B5" s="10" t="s">
        <v>17</v>
      </c>
      <c r="C5" s="11" t="s">
        <v>18</v>
      </c>
      <c r="D5" s="11"/>
      <c r="E5" s="11"/>
      <c r="F5" s="11" t="s">
        <v>19</v>
      </c>
      <c r="G5" s="11" t="s">
        <v>20</v>
      </c>
      <c r="H5" s="12">
        <f t="shared" ref="H5:H36" si="0">VLOOKUP(C5,$R$4:$U$64,4,FALSE)</f>
        <v>88.2</v>
      </c>
      <c r="I5" s="12"/>
      <c r="J5" s="12"/>
      <c r="K5" s="12">
        <f t="shared" ref="K5:K22" si="1">VLOOKUP(F5,$R$4:$U$64,4,FALSE)*1.6</f>
        <v>97.920000000000016</v>
      </c>
      <c r="L5" s="12">
        <f t="shared" ref="L5:L36" si="2">VLOOKUP(G5,$R$4:$U$64,4,FALSE)</f>
        <v>61.2</v>
      </c>
      <c r="M5" s="12">
        <f t="shared" ref="M5" si="3">SUM(H5:L5)</f>
        <v>247.32</v>
      </c>
      <c r="N5" s="12">
        <f t="shared" ref="N5:N68" si="4">SUM(H5:L5)*1.1</f>
        <v>272.05200000000002</v>
      </c>
      <c r="O5" s="11">
        <v>80</v>
      </c>
      <c r="P5" s="13">
        <f>O5+N5</f>
        <v>352.05200000000002</v>
      </c>
      <c r="Q5" s="14"/>
      <c r="R5" s="15" t="s">
        <v>21</v>
      </c>
      <c r="S5" s="16">
        <v>180</v>
      </c>
      <c r="T5" s="16">
        <v>590000</v>
      </c>
      <c r="U5" s="17">
        <f t="shared" ref="U5:U31" si="5">S5*T5/1000000</f>
        <v>106.2</v>
      </c>
      <c r="V5" s="3"/>
    </row>
    <row r="6" spans="1:26">
      <c r="A6" s="18">
        <v>3</v>
      </c>
      <c r="B6" s="19" t="s">
        <v>17</v>
      </c>
      <c r="C6" s="20" t="s">
        <v>18</v>
      </c>
      <c r="D6" s="20"/>
      <c r="E6" s="20"/>
      <c r="F6" s="20" t="s">
        <v>22</v>
      </c>
      <c r="G6" s="20" t="s">
        <v>18</v>
      </c>
      <c r="H6" s="21">
        <f t="shared" si="0"/>
        <v>88.2</v>
      </c>
      <c r="I6" s="21"/>
      <c r="J6" s="21"/>
      <c r="K6" s="21">
        <f t="shared" si="1"/>
        <v>141.12</v>
      </c>
      <c r="L6" s="21">
        <f t="shared" si="2"/>
        <v>88.2</v>
      </c>
      <c r="M6" s="21">
        <f>SUM(H6:L6)</f>
        <v>317.52</v>
      </c>
      <c r="N6" s="21">
        <f t="shared" si="4"/>
        <v>349.27199999999999</v>
      </c>
      <c r="O6" s="11">
        <v>80</v>
      </c>
      <c r="P6" s="22">
        <f t="shared" ref="P6:P69" si="6">O6+N6</f>
        <v>429.27199999999999</v>
      </c>
      <c r="Q6" s="23"/>
      <c r="R6" s="24" t="s">
        <v>23</v>
      </c>
      <c r="S6" s="25">
        <v>180</v>
      </c>
      <c r="T6" s="25">
        <v>800000</v>
      </c>
      <c r="U6" s="17">
        <f t="shared" si="5"/>
        <v>144</v>
      </c>
      <c r="V6" s="3"/>
      <c r="Z6" s="74"/>
    </row>
    <row r="7" spans="1:26">
      <c r="A7" s="18"/>
      <c r="B7" s="19" t="s">
        <v>17</v>
      </c>
      <c r="C7" s="20" t="s">
        <v>21</v>
      </c>
      <c r="D7" s="20"/>
      <c r="E7" s="20"/>
      <c r="F7" s="20" t="s">
        <v>24</v>
      </c>
      <c r="G7" s="20" t="s">
        <v>25</v>
      </c>
      <c r="H7" s="21">
        <f t="shared" si="0"/>
        <v>106.2</v>
      </c>
      <c r="I7" s="21"/>
      <c r="J7" s="21"/>
      <c r="K7" s="21">
        <f t="shared" si="1"/>
        <v>133.12</v>
      </c>
      <c r="L7" s="21">
        <f t="shared" si="2"/>
        <v>83.2</v>
      </c>
      <c r="M7" s="21">
        <f t="shared" ref="M7:M22" si="7">SUM(H7:L7)</f>
        <v>322.52</v>
      </c>
      <c r="N7" s="21">
        <f t="shared" si="4"/>
        <v>354.77199999999999</v>
      </c>
      <c r="O7" s="11">
        <v>80</v>
      </c>
      <c r="P7" s="22">
        <f t="shared" si="6"/>
        <v>434.77199999999999</v>
      </c>
      <c r="Q7" s="23"/>
      <c r="R7" s="24" t="s">
        <v>26</v>
      </c>
      <c r="S7" s="25">
        <v>180</v>
      </c>
      <c r="T7" s="25">
        <v>590000</v>
      </c>
      <c r="U7" s="17">
        <f t="shared" si="5"/>
        <v>106.2</v>
      </c>
      <c r="V7" s="3"/>
    </row>
    <row r="8" spans="1:26">
      <c r="A8" s="18"/>
      <c r="B8" s="19" t="s">
        <v>17</v>
      </c>
      <c r="C8" s="20" t="s">
        <v>21</v>
      </c>
      <c r="D8" s="20"/>
      <c r="E8" s="20"/>
      <c r="F8" s="20" t="s">
        <v>22</v>
      </c>
      <c r="G8" s="20" t="s">
        <v>18</v>
      </c>
      <c r="H8" s="21">
        <f t="shared" si="0"/>
        <v>106.2</v>
      </c>
      <c r="I8" s="21"/>
      <c r="J8" s="21"/>
      <c r="K8" s="21">
        <f t="shared" si="1"/>
        <v>141.12</v>
      </c>
      <c r="L8" s="21">
        <f t="shared" si="2"/>
        <v>88.2</v>
      </c>
      <c r="M8" s="21">
        <f t="shared" si="7"/>
        <v>335.52</v>
      </c>
      <c r="N8" s="21">
        <f t="shared" si="4"/>
        <v>369.072</v>
      </c>
      <c r="O8" s="11">
        <v>80</v>
      </c>
      <c r="P8" s="22">
        <f t="shared" si="6"/>
        <v>449.072</v>
      </c>
      <c r="Q8" s="23"/>
      <c r="R8" s="26" t="s">
        <v>27</v>
      </c>
      <c r="S8" s="27">
        <v>210</v>
      </c>
      <c r="T8" s="27">
        <v>650000</v>
      </c>
      <c r="U8" s="17">
        <f t="shared" si="5"/>
        <v>136.5</v>
      </c>
      <c r="V8" s="3"/>
    </row>
    <row r="9" spans="1:26">
      <c r="A9" s="18">
        <v>3</v>
      </c>
      <c r="B9" s="19" t="s">
        <v>17</v>
      </c>
      <c r="C9" s="20" t="s">
        <v>21</v>
      </c>
      <c r="D9" s="20"/>
      <c r="E9" s="20"/>
      <c r="F9" s="20" t="s">
        <v>22</v>
      </c>
      <c r="G9" s="20" t="s">
        <v>18</v>
      </c>
      <c r="H9" s="21">
        <f t="shared" si="0"/>
        <v>106.2</v>
      </c>
      <c r="I9" s="21"/>
      <c r="J9" s="21"/>
      <c r="K9" s="21">
        <f t="shared" si="1"/>
        <v>141.12</v>
      </c>
      <c r="L9" s="21">
        <f t="shared" si="2"/>
        <v>88.2</v>
      </c>
      <c r="M9" s="21">
        <f t="shared" si="7"/>
        <v>335.52</v>
      </c>
      <c r="N9" s="21">
        <f t="shared" si="4"/>
        <v>369.072</v>
      </c>
      <c r="O9" s="11">
        <v>80</v>
      </c>
      <c r="P9" s="22">
        <f t="shared" si="6"/>
        <v>449.072</v>
      </c>
      <c r="Q9" s="23"/>
      <c r="R9" s="24" t="s">
        <v>28</v>
      </c>
      <c r="S9" s="25">
        <v>210</v>
      </c>
      <c r="T9" s="25">
        <v>650000</v>
      </c>
      <c r="U9" s="17">
        <f t="shared" si="5"/>
        <v>136.5</v>
      </c>
      <c r="V9" s="3"/>
    </row>
    <row r="10" spans="1:26">
      <c r="A10" s="18">
        <v>5</v>
      </c>
      <c r="B10" s="19" t="s">
        <v>17</v>
      </c>
      <c r="C10" s="20" t="s">
        <v>21</v>
      </c>
      <c r="D10" s="20"/>
      <c r="E10" s="20"/>
      <c r="F10" s="20" t="s">
        <v>29</v>
      </c>
      <c r="G10" s="20" t="s">
        <v>18</v>
      </c>
      <c r="H10" s="21">
        <f t="shared" si="0"/>
        <v>106.2</v>
      </c>
      <c r="I10" s="21"/>
      <c r="J10" s="21"/>
      <c r="K10" s="21">
        <f t="shared" si="1"/>
        <v>164.16</v>
      </c>
      <c r="L10" s="21">
        <f t="shared" si="2"/>
        <v>88.2</v>
      </c>
      <c r="M10" s="21">
        <f t="shared" si="7"/>
        <v>358.56</v>
      </c>
      <c r="N10" s="21">
        <f t="shared" si="4"/>
        <v>394.41600000000005</v>
      </c>
      <c r="O10" s="11">
        <v>80</v>
      </c>
      <c r="P10" s="22">
        <f t="shared" si="6"/>
        <v>474.41600000000005</v>
      </c>
      <c r="Q10" s="23"/>
      <c r="R10" s="24" t="s">
        <v>30</v>
      </c>
      <c r="S10" s="25">
        <v>175</v>
      </c>
      <c r="T10" s="25">
        <v>770000</v>
      </c>
      <c r="U10" s="28">
        <f t="shared" si="5"/>
        <v>134.75</v>
      </c>
      <c r="V10" s="3"/>
    </row>
    <row r="11" spans="1:26">
      <c r="A11" s="9">
        <v>1</v>
      </c>
      <c r="B11" s="19" t="s">
        <v>17</v>
      </c>
      <c r="C11" s="20" t="s">
        <v>30</v>
      </c>
      <c r="D11" s="20"/>
      <c r="E11" s="20"/>
      <c r="F11" s="20" t="s">
        <v>19</v>
      </c>
      <c r="G11" s="20" t="s">
        <v>18</v>
      </c>
      <c r="H11" s="21">
        <f t="shared" si="0"/>
        <v>134.75</v>
      </c>
      <c r="I11" s="21"/>
      <c r="J11" s="21"/>
      <c r="K11" s="21">
        <f t="shared" si="1"/>
        <v>97.920000000000016</v>
      </c>
      <c r="L11" s="21">
        <f t="shared" si="2"/>
        <v>88.2</v>
      </c>
      <c r="M11" s="21">
        <f t="shared" si="7"/>
        <v>320.87</v>
      </c>
      <c r="N11" s="21">
        <f t="shared" si="4"/>
        <v>352.95700000000005</v>
      </c>
      <c r="O11" s="11">
        <v>80</v>
      </c>
      <c r="P11" s="22">
        <f t="shared" si="6"/>
        <v>432.95700000000005</v>
      </c>
      <c r="Q11" s="23"/>
      <c r="R11" s="81" t="s">
        <v>31</v>
      </c>
      <c r="S11" s="30">
        <v>225</v>
      </c>
      <c r="T11" s="30">
        <v>770000</v>
      </c>
      <c r="U11" s="28">
        <f t="shared" si="5"/>
        <v>173.25</v>
      </c>
      <c r="V11" s="3"/>
    </row>
    <row r="12" spans="1:26">
      <c r="A12" s="18">
        <v>3</v>
      </c>
      <c r="B12" s="19" t="s">
        <v>17</v>
      </c>
      <c r="C12" s="20" t="s">
        <v>30</v>
      </c>
      <c r="D12" s="20"/>
      <c r="E12" s="20"/>
      <c r="F12" s="20" t="s">
        <v>19</v>
      </c>
      <c r="G12" s="20" t="s">
        <v>18</v>
      </c>
      <c r="H12" s="21">
        <f t="shared" si="0"/>
        <v>134.75</v>
      </c>
      <c r="I12" s="21"/>
      <c r="J12" s="21"/>
      <c r="K12" s="21">
        <f t="shared" si="1"/>
        <v>97.920000000000016</v>
      </c>
      <c r="L12" s="21">
        <f t="shared" si="2"/>
        <v>88.2</v>
      </c>
      <c r="M12" s="21">
        <f t="shared" si="7"/>
        <v>320.87</v>
      </c>
      <c r="N12" s="21">
        <f t="shared" si="4"/>
        <v>352.95700000000005</v>
      </c>
      <c r="O12" s="11">
        <v>80</v>
      </c>
      <c r="P12" s="22">
        <f t="shared" si="6"/>
        <v>432.95700000000005</v>
      </c>
      <c r="Q12" s="31"/>
      <c r="R12" s="32" t="s">
        <v>32</v>
      </c>
      <c r="S12" s="33">
        <v>300</v>
      </c>
      <c r="T12" s="33">
        <v>840000</v>
      </c>
      <c r="U12" s="28">
        <f t="shared" si="5"/>
        <v>252</v>
      </c>
      <c r="V12" s="3"/>
    </row>
    <row r="13" spans="1:26">
      <c r="A13" s="18"/>
      <c r="B13" s="19" t="s">
        <v>17</v>
      </c>
      <c r="C13" s="20" t="s">
        <v>30</v>
      </c>
      <c r="D13" s="20"/>
      <c r="E13" s="20"/>
      <c r="F13" s="20" t="s">
        <v>24</v>
      </c>
      <c r="G13" s="20" t="s">
        <v>18</v>
      </c>
      <c r="H13" s="21">
        <f t="shared" si="0"/>
        <v>134.75</v>
      </c>
      <c r="I13" s="21"/>
      <c r="J13" s="21"/>
      <c r="K13" s="21">
        <f t="shared" si="1"/>
        <v>133.12</v>
      </c>
      <c r="L13" s="21">
        <f t="shared" si="2"/>
        <v>88.2</v>
      </c>
      <c r="M13" s="21">
        <f t="shared" si="7"/>
        <v>356.07</v>
      </c>
      <c r="N13" s="21">
        <f t="shared" si="4"/>
        <v>391.67700000000002</v>
      </c>
      <c r="O13" s="11">
        <v>80</v>
      </c>
      <c r="P13" s="22">
        <f t="shared" si="6"/>
        <v>471.67700000000002</v>
      </c>
      <c r="Q13" s="31"/>
      <c r="R13" s="34" t="s">
        <v>33</v>
      </c>
      <c r="S13" s="25">
        <v>220</v>
      </c>
      <c r="T13" s="25">
        <v>890000</v>
      </c>
      <c r="U13" s="28">
        <f t="shared" si="5"/>
        <v>195.8</v>
      </c>
      <c r="V13" s="3"/>
    </row>
    <row r="14" spans="1:26">
      <c r="A14" s="18"/>
      <c r="B14" s="19" t="s">
        <v>17</v>
      </c>
      <c r="C14" s="20" t="s">
        <v>30</v>
      </c>
      <c r="D14" s="20"/>
      <c r="E14" s="20"/>
      <c r="F14" s="20" t="s">
        <v>24</v>
      </c>
      <c r="G14" s="20" t="s">
        <v>25</v>
      </c>
      <c r="H14" s="21">
        <f t="shared" si="0"/>
        <v>134.75</v>
      </c>
      <c r="I14" s="21"/>
      <c r="J14" s="21"/>
      <c r="K14" s="21">
        <f t="shared" si="1"/>
        <v>133.12</v>
      </c>
      <c r="L14" s="21">
        <f t="shared" si="2"/>
        <v>83.2</v>
      </c>
      <c r="M14" s="21">
        <f t="shared" si="7"/>
        <v>351.07</v>
      </c>
      <c r="N14" s="21">
        <f t="shared" si="4"/>
        <v>386.17700000000002</v>
      </c>
      <c r="O14" s="11">
        <v>80</v>
      </c>
      <c r="P14" s="22">
        <f t="shared" si="6"/>
        <v>466.17700000000002</v>
      </c>
      <c r="Q14" s="31"/>
      <c r="R14" s="24" t="s">
        <v>34</v>
      </c>
      <c r="S14" s="25">
        <v>240</v>
      </c>
      <c r="T14" s="25">
        <v>890000</v>
      </c>
      <c r="U14" s="28">
        <f t="shared" si="5"/>
        <v>213.6</v>
      </c>
      <c r="V14" s="3"/>
    </row>
    <row r="15" spans="1:26">
      <c r="A15" s="18">
        <v>3</v>
      </c>
      <c r="B15" s="19" t="s">
        <v>17</v>
      </c>
      <c r="C15" s="20" t="s">
        <v>30</v>
      </c>
      <c r="D15" s="20"/>
      <c r="E15" s="20"/>
      <c r="F15" s="20" t="s">
        <v>22</v>
      </c>
      <c r="G15" s="20" t="s">
        <v>18</v>
      </c>
      <c r="H15" s="21">
        <f t="shared" si="0"/>
        <v>134.75</v>
      </c>
      <c r="I15" s="21"/>
      <c r="J15" s="21"/>
      <c r="K15" s="21">
        <f t="shared" si="1"/>
        <v>141.12</v>
      </c>
      <c r="L15" s="21">
        <f t="shared" si="2"/>
        <v>88.2</v>
      </c>
      <c r="M15" s="21">
        <f t="shared" si="7"/>
        <v>364.07</v>
      </c>
      <c r="N15" s="21">
        <f t="shared" si="4"/>
        <v>400.47700000000003</v>
      </c>
      <c r="O15" s="11">
        <v>80</v>
      </c>
      <c r="P15" s="22">
        <f t="shared" si="6"/>
        <v>480.47700000000003</v>
      </c>
      <c r="Q15" s="31"/>
      <c r="R15" s="24" t="s">
        <v>35</v>
      </c>
      <c r="S15" s="25">
        <v>220</v>
      </c>
      <c r="T15" s="25">
        <v>630000</v>
      </c>
      <c r="U15" s="28">
        <f t="shared" si="5"/>
        <v>138.6</v>
      </c>
      <c r="V15" s="3"/>
    </row>
    <row r="16" spans="1:26">
      <c r="A16" s="18">
        <v>5</v>
      </c>
      <c r="B16" s="19" t="s">
        <v>17</v>
      </c>
      <c r="C16" s="20" t="s">
        <v>30</v>
      </c>
      <c r="D16" s="20"/>
      <c r="E16" s="20"/>
      <c r="F16" s="20" t="s">
        <v>29</v>
      </c>
      <c r="G16" s="20" t="s">
        <v>18</v>
      </c>
      <c r="H16" s="21">
        <f t="shared" si="0"/>
        <v>134.75</v>
      </c>
      <c r="I16" s="21"/>
      <c r="J16" s="21"/>
      <c r="K16" s="21">
        <f t="shared" si="1"/>
        <v>164.16</v>
      </c>
      <c r="L16" s="21">
        <f t="shared" si="2"/>
        <v>88.2</v>
      </c>
      <c r="M16" s="21">
        <f t="shared" si="7"/>
        <v>387.10999999999996</v>
      </c>
      <c r="N16" s="21">
        <f t="shared" si="4"/>
        <v>425.82099999999997</v>
      </c>
      <c r="O16" s="11">
        <v>80</v>
      </c>
      <c r="P16" s="22">
        <f t="shared" si="6"/>
        <v>505.82099999999997</v>
      </c>
      <c r="Q16" s="31"/>
      <c r="R16" s="24" t="s">
        <v>69</v>
      </c>
      <c r="S16" s="25">
        <v>110</v>
      </c>
      <c r="T16" s="25">
        <v>510000</v>
      </c>
      <c r="U16" s="28">
        <f t="shared" si="5"/>
        <v>56.1</v>
      </c>
      <c r="V16" s="3"/>
    </row>
    <row r="17" spans="1:22">
      <c r="A17" s="9">
        <v>1</v>
      </c>
      <c r="B17" s="19" t="s">
        <v>17</v>
      </c>
      <c r="C17" s="20" t="s">
        <v>19</v>
      </c>
      <c r="D17" s="20"/>
      <c r="E17" s="20"/>
      <c r="F17" s="20" t="s">
        <v>22</v>
      </c>
      <c r="G17" s="20" t="s">
        <v>18</v>
      </c>
      <c r="H17" s="21">
        <f t="shared" si="0"/>
        <v>61.2</v>
      </c>
      <c r="I17" s="21"/>
      <c r="J17" s="21"/>
      <c r="K17" s="21">
        <f t="shared" si="1"/>
        <v>141.12</v>
      </c>
      <c r="L17" s="21">
        <f t="shared" si="2"/>
        <v>88.2</v>
      </c>
      <c r="M17" s="21">
        <f t="shared" si="7"/>
        <v>290.52</v>
      </c>
      <c r="N17" s="21">
        <f t="shared" si="4"/>
        <v>319.572</v>
      </c>
      <c r="O17" s="11">
        <v>80</v>
      </c>
      <c r="P17" s="22">
        <f t="shared" si="6"/>
        <v>399.572</v>
      </c>
      <c r="Q17" s="31"/>
      <c r="R17" s="26" t="s">
        <v>36</v>
      </c>
      <c r="S17" s="35">
        <v>120</v>
      </c>
      <c r="T17" s="27">
        <v>510000</v>
      </c>
      <c r="U17" s="28">
        <f t="shared" si="5"/>
        <v>61.2</v>
      </c>
      <c r="V17" s="3"/>
    </row>
    <row r="18" spans="1:22">
      <c r="A18" s="18">
        <v>2</v>
      </c>
      <c r="B18" s="19" t="s">
        <v>17</v>
      </c>
      <c r="C18" s="20" t="s">
        <v>23</v>
      </c>
      <c r="D18" s="20"/>
      <c r="E18" s="20"/>
      <c r="F18" s="20" t="s">
        <v>37</v>
      </c>
      <c r="G18" s="20" t="s">
        <v>18</v>
      </c>
      <c r="H18" s="21">
        <f t="shared" si="0"/>
        <v>144</v>
      </c>
      <c r="I18" s="21"/>
      <c r="J18" s="21"/>
      <c r="K18" s="21">
        <f t="shared" si="1"/>
        <v>122.4</v>
      </c>
      <c r="L18" s="21">
        <f t="shared" si="2"/>
        <v>88.2</v>
      </c>
      <c r="M18" s="21">
        <f t="shared" si="7"/>
        <v>354.59999999999997</v>
      </c>
      <c r="N18" s="21">
        <f t="shared" si="4"/>
        <v>390.06</v>
      </c>
      <c r="O18" s="11">
        <v>80</v>
      </c>
      <c r="P18" s="22">
        <f t="shared" si="6"/>
        <v>470.06</v>
      </c>
      <c r="Q18" s="31"/>
      <c r="R18" s="24" t="s">
        <v>37</v>
      </c>
      <c r="S18" s="25">
        <v>150</v>
      </c>
      <c r="T18" s="25">
        <v>510000</v>
      </c>
      <c r="U18" s="28">
        <f t="shared" si="5"/>
        <v>76.5</v>
      </c>
      <c r="V18" s="3"/>
    </row>
    <row r="19" spans="1:22">
      <c r="A19" s="18"/>
      <c r="B19" s="19" t="s">
        <v>17</v>
      </c>
      <c r="C19" s="20" t="s">
        <v>23</v>
      </c>
      <c r="D19" s="20"/>
      <c r="E19" s="20"/>
      <c r="F19" s="20" t="s">
        <v>24</v>
      </c>
      <c r="G19" s="20" t="s">
        <v>38</v>
      </c>
      <c r="H19" s="21">
        <f t="shared" si="0"/>
        <v>144</v>
      </c>
      <c r="I19" s="21"/>
      <c r="J19" s="21"/>
      <c r="K19" s="21">
        <f t="shared" si="1"/>
        <v>133.12</v>
      </c>
      <c r="L19" s="21">
        <f t="shared" si="2"/>
        <v>76.5</v>
      </c>
      <c r="M19" s="21">
        <f t="shared" si="7"/>
        <v>353.62</v>
      </c>
      <c r="N19" s="21">
        <f t="shared" si="4"/>
        <v>388.98200000000003</v>
      </c>
      <c r="O19" s="11">
        <v>80</v>
      </c>
      <c r="P19" s="22">
        <f t="shared" si="6"/>
        <v>468.98200000000003</v>
      </c>
      <c r="Q19" s="31"/>
      <c r="R19" s="24" t="s">
        <v>24</v>
      </c>
      <c r="S19" s="25">
        <v>160</v>
      </c>
      <c r="T19" s="25">
        <v>520000</v>
      </c>
      <c r="U19" s="28">
        <f t="shared" si="5"/>
        <v>83.2</v>
      </c>
      <c r="V19" s="3"/>
    </row>
    <row r="20" spans="1:22">
      <c r="A20" s="18"/>
      <c r="B20" s="19" t="s">
        <v>17</v>
      </c>
      <c r="C20" s="20" t="s">
        <v>23</v>
      </c>
      <c r="D20" s="20"/>
      <c r="E20" s="20"/>
      <c r="F20" s="20" t="s">
        <v>24</v>
      </c>
      <c r="G20" s="20" t="s">
        <v>18</v>
      </c>
      <c r="H20" s="21">
        <f t="shared" si="0"/>
        <v>144</v>
      </c>
      <c r="I20" s="21"/>
      <c r="J20" s="21"/>
      <c r="K20" s="21">
        <f t="shared" si="1"/>
        <v>133.12</v>
      </c>
      <c r="L20" s="21">
        <f t="shared" si="2"/>
        <v>88.2</v>
      </c>
      <c r="M20" s="21">
        <f t="shared" si="7"/>
        <v>365.32</v>
      </c>
      <c r="N20" s="21">
        <f t="shared" si="4"/>
        <v>401.85200000000003</v>
      </c>
      <c r="O20" s="11">
        <v>80</v>
      </c>
      <c r="P20" s="22">
        <f t="shared" si="6"/>
        <v>481.85200000000003</v>
      </c>
      <c r="Q20" s="31"/>
      <c r="R20" s="24" t="s">
        <v>39</v>
      </c>
      <c r="S20" s="25">
        <v>180</v>
      </c>
      <c r="T20" s="25">
        <v>570000</v>
      </c>
      <c r="U20" s="28">
        <f t="shared" si="5"/>
        <v>102.6</v>
      </c>
      <c r="V20" s="3"/>
    </row>
    <row r="21" spans="1:22">
      <c r="A21" s="18">
        <v>3</v>
      </c>
      <c r="B21" s="19" t="s">
        <v>17</v>
      </c>
      <c r="C21" s="20" t="s">
        <v>23</v>
      </c>
      <c r="D21" s="20"/>
      <c r="E21" s="20"/>
      <c r="F21" s="20" t="s">
        <v>22</v>
      </c>
      <c r="G21" s="20" t="s">
        <v>18</v>
      </c>
      <c r="H21" s="21">
        <f t="shared" si="0"/>
        <v>144</v>
      </c>
      <c r="I21" s="21"/>
      <c r="J21" s="21"/>
      <c r="K21" s="21">
        <f t="shared" si="1"/>
        <v>141.12</v>
      </c>
      <c r="L21" s="21">
        <f t="shared" si="2"/>
        <v>88.2</v>
      </c>
      <c r="M21" s="21">
        <f t="shared" si="7"/>
        <v>373.32</v>
      </c>
      <c r="N21" s="21">
        <f t="shared" si="4"/>
        <v>410.65200000000004</v>
      </c>
      <c r="O21" s="11">
        <v>80</v>
      </c>
      <c r="P21" s="22">
        <f t="shared" si="6"/>
        <v>490.65200000000004</v>
      </c>
      <c r="Q21" s="31"/>
      <c r="R21" s="24" t="s">
        <v>18</v>
      </c>
      <c r="S21" s="25">
        <v>180</v>
      </c>
      <c r="T21" s="25">
        <v>490000</v>
      </c>
      <c r="U21" s="28">
        <f t="shared" si="5"/>
        <v>88.2</v>
      </c>
      <c r="V21" s="3"/>
    </row>
    <row r="22" spans="1:22">
      <c r="A22" s="18">
        <v>5</v>
      </c>
      <c r="B22" s="19" t="s">
        <v>17</v>
      </c>
      <c r="C22" s="20" t="s">
        <v>23</v>
      </c>
      <c r="D22" s="20"/>
      <c r="E22" s="20"/>
      <c r="F22" s="20" t="s">
        <v>29</v>
      </c>
      <c r="G22" s="20" t="s">
        <v>18</v>
      </c>
      <c r="H22" s="21">
        <f t="shared" si="0"/>
        <v>144</v>
      </c>
      <c r="I22" s="21"/>
      <c r="J22" s="21"/>
      <c r="K22" s="21">
        <f t="shared" si="1"/>
        <v>164.16</v>
      </c>
      <c r="L22" s="21">
        <f t="shared" si="2"/>
        <v>88.2</v>
      </c>
      <c r="M22" s="21">
        <f t="shared" si="7"/>
        <v>396.35999999999996</v>
      </c>
      <c r="N22" s="21">
        <f t="shared" si="4"/>
        <v>435.99599999999998</v>
      </c>
      <c r="O22" s="11">
        <v>80</v>
      </c>
      <c r="P22" s="22">
        <f t="shared" si="6"/>
        <v>515.99599999999998</v>
      </c>
      <c r="Q22" s="31"/>
      <c r="R22" s="24" t="s">
        <v>40</v>
      </c>
      <c r="S22" s="25">
        <v>250</v>
      </c>
      <c r="T22" s="25">
        <v>490000</v>
      </c>
      <c r="U22" s="28">
        <f t="shared" si="5"/>
        <v>122.5</v>
      </c>
      <c r="V22" s="3"/>
    </row>
    <row r="23" spans="1:22">
      <c r="A23" s="18">
        <v>3</v>
      </c>
      <c r="B23" s="19" t="s">
        <v>41</v>
      </c>
      <c r="C23" s="20" t="s">
        <v>18</v>
      </c>
      <c r="D23" s="20" t="s">
        <v>22</v>
      </c>
      <c r="E23" s="20"/>
      <c r="F23" s="20"/>
      <c r="G23" s="20" t="s">
        <v>18</v>
      </c>
      <c r="H23" s="21">
        <f t="shared" si="0"/>
        <v>88.2</v>
      </c>
      <c r="I23" s="21">
        <f t="shared" ref="I23:I35" si="8">VLOOKUP(D23,$R$4:$U$64,4,FALSE)*1.4</f>
        <v>123.47999999999999</v>
      </c>
      <c r="J23" s="21"/>
      <c r="K23" s="21"/>
      <c r="L23" s="21">
        <f t="shared" si="2"/>
        <v>88.2</v>
      </c>
      <c r="M23" s="21">
        <f t="shared" ref="M23:M27" si="9">SUM(H23:L23)</f>
        <v>299.88</v>
      </c>
      <c r="N23" s="21">
        <f t="shared" si="4"/>
        <v>329.86799999999999</v>
      </c>
      <c r="O23" s="11">
        <v>80</v>
      </c>
      <c r="P23" s="22">
        <f t="shared" si="6"/>
        <v>409.86799999999999</v>
      </c>
      <c r="Q23" s="31"/>
      <c r="R23" s="24" t="s">
        <v>79</v>
      </c>
      <c r="S23" s="25">
        <v>200</v>
      </c>
      <c r="T23" s="25">
        <v>490000</v>
      </c>
      <c r="U23" s="28">
        <f t="shared" si="5"/>
        <v>98</v>
      </c>
      <c r="V23" s="3"/>
    </row>
    <row r="24" spans="1:22">
      <c r="A24" s="18">
        <v>4</v>
      </c>
      <c r="B24" s="19" t="s">
        <v>41</v>
      </c>
      <c r="C24" s="20" t="s">
        <v>21</v>
      </c>
      <c r="D24" s="20" t="s">
        <v>22</v>
      </c>
      <c r="E24" s="20"/>
      <c r="F24" s="20"/>
      <c r="G24" s="20" t="s">
        <v>18</v>
      </c>
      <c r="H24" s="21">
        <f t="shared" si="0"/>
        <v>106.2</v>
      </c>
      <c r="I24" s="21">
        <f t="shared" si="8"/>
        <v>123.47999999999999</v>
      </c>
      <c r="J24" s="21"/>
      <c r="K24" s="21"/>
      <c r="L24" s="21">
        <f t="shared" si="2"/>
        <v>88.2</v>
      </c>
      <c r="M24" s="21">
        <f t="shared" si="9"/>
        <v>317.88</v>
      </c>
      <c r="N24" s="21">
        <f t="shared" si="4"/>
        <v>349.66800000000001</v>
      </c>
      <c r="O24" s="11">
        <v>80</v>
      </c>
      <c r="P24" s="22">
        <f t="shared" si="6"/>
        <v>429.66800000000001</v>
      </c>
      <c r="Q24" s="31"/>
      <c r="R24" s="24"/>
      <c r="S24" s="25"/>
      <c r="T24" s="25"/>
      <c r="U24" s="28">
        <f t="shared" si="5"/>
        <v>0</v>
      </c>
      <c r="V24" s="3"/>
    </row>
    <row r="25" spans="1:22">
      <c r="A25" s="18">
        <v>5</v>
      </c>
      <c r="B25" s="19" t="s">
        <v>41</v>
      </c>
      <c r="C25" s="20" t="s">
        <v>30</v>
      </c>
      <c r="D25" s="20" t="s">
        <v>22</v>
      </c>
      <c r="E25" s="20"/>
      <c r="F25" s="20"/>
      <c r="G25" s="20" t="s">
        <v>42</v>
      </c>
      <c r="H25" s="21">
        <f t="shared" si="0"/>
        <v>134.75</v>
      </c>
      <c r="I25" s="21">
        <f t="shared" si="8"/>
        <v>123.47999999999999</v>
      </c>
      <c r="J25" s="21"/>
      <c r="K25" s="21"/>
      <c r="L25" s="21">
        <f t="shared" si="2"/>
        <v>134.75</v>
      </c>
      <c r="M25" s="21">
        <f t="shared" si="9"/>
        <v>392.98</v>
      </c>
      <c r="N25" s="21">
        <f t="shared" si="4"/>
        <v>432.27800000000008</v>
      </c>
      <c r="O25" s="11">
        <v>80</v>
      </c>
      <c r="P25" s="22">
        <f t="shared" si="6"/>
        <v>512.27800000000002</v>
      </c>
      <c r="Q25" s="31"/>
      <c r="R25" s="24"/>
      <c r="S25" s="25"/>
      <c r="T25" s="25"/>
      <c r="U25" s="28">
        <f t="shared" si="5"/>
        <v>0</v>
      </c>
      <c r="V25" s="3"/>
    </row>
    <row r="26" spans="1:22">
      <c r="A26" s="18">
        <v>1</v>
      </c>
      <c r="B26" s="19" t="s">
        <v>41</v>
      </c>
      <c r="C26" s="20" t="s">
        <v>22</v>
      </c>
      <c r="D26" s="20" t="s">
        <v>29</v>
      </c>
      <c r="E26" s="20"/>
      <c r="F26" s="20"/>
      <c r="G26" s="20" t="s">
        <v>18</v>
      </c>
      <c r="H26" s="21">
        <f t="shared" si="0"/>
        <v>88.2</v>
      </c>
      <c r="I26" s="21">
        <f t="shared" si="8"/>
        <v>143.63999999999999</v>
      </c>
      <c r="J26" s="21"/>
      <c r="K26" s="21"/>
      <c r="L26" s="21">
        <f t="shared" si="2"/>
        <v>88.2</v>
      </c>
      <c r="M26" s="21">
        <f t="shared" si="9"/>
        <v>320.03999999999996</v>
      </c>
      <c r="N26" s="21">
        <f t="shared" si="4"/>
        <v>352.04399999999998</v>
      </c>
      <c r="O26" s="11">
        <v>80</v>
      </c>
      <c r="P26" s="22">
        <f t="shared" si="6"/>
        <v>432.04399999999998</v>
      </c>
      <c r="Q26" s="31"/>
      <c r="R26" s="24"/>
      <c r="S26" s="25"/>
      <c r="T26" s="25"/>
      <c r="U26" s="28">
        <f t="shared" si="5"/>
        <v>0</v>
      </c>
      <c r="V26" s="3"/>
    </row>
    <row r="27" spans="1:22">
      <c r="A27" s="18">
        <v>2</v>
      </c>
      <c r="B27" s="19" t="s">
        <v>41</v>
      </c>
      <c r="C27" s="20" t="s">
        <v>30</v>
      </c>
      <c r="D27" s="20" t="s">
        <v>43</v>
      </c>
      <c r="E27" s="20"/>
      <c r="F27" s="20"/>
      <c r="G27" s="20" t="s">
        <v>18</v>
      </c>
      <c r="H27" s="21">
        <f t="shared" si="0"/>
        <v>134.75</v>
      </c>
      <c r="I27" s="21">
        <f t="shared" si="8"/>
        <v>143.63999999999999</v>
      </c>
      <c r="J27" s="21"/>
      <c r="K27" s="21"/>
      <c r="L27" s="21">
        <f t="shared" si="2"/>
        <v>88.2</v>
      </c>
      <c r="M27" s="21">
        <f t="shared" si="9"/>
        <v>366.59</v>
      </c>
      <c r="N27" s="21">
        <f t="shared" si="4"/>
        <v>403.24900000000002</v>
      </c>
      <c r="O27" s="11">
        <v>80</v>
      </c>
      <c r="P27" s="22">
        <f t="shared" si="6"/>
        <v>483.24900000000002</v>
      </c>
      <c r="Q27" s="31"/>
      <c r="R27" s="26"/>
      <c r="S27" s="27"/>
      <c r="T27" s="27"/>
      <c r="U27" s="36">
        <f t="shared" si="5"/>
        <v>0</v>
      </c>
      <c r="V27" s="3"/>
    </row>
    <row r="28" spans="1:22">
      <c r="A28" s="18">
        <v>3</v>
      </c>
      <c r="B28" s="19" t="s">
        <v>41</v>
      </c>
      <c r="C28" s="20" t="s">
        <v>30</v>
      </c>
      <c r="D28" s="20" t="s">
        <v>22</v>
      </c>
      <c r="E28" s="20"/>
      <c r="F28" s="20"/>
      <c r="G28" s="20" t="s">
        <v>44</v>
      </c>
      <c r="H28" s="21">
        <f t="shared" si="0"/>
        <v>134.75</v>
      </c>
      <c r="I28" s="21">
        <f t="shared" si="8"/>
        <v>123.47999999999999</v>
      </c>
      <c r="J28" s="21"/>
      <c r="K28" s="21"/>
      <c r="L28" s="21">
        <f t="shared" si="2"/>
        <v>88.2</v>
      </c>
      <c r="M28" s="21">
        <f t="shared" ref="M28:M70" si="10">SUM(H28:L28)</f>
        <v>346.43</v>
      </c>
      <c r="N28" s="21">
        <f t="shared" si="4"/>
        <v>381.07300000000004</v>
      </c>
      <c r="O28" s="11">
        <v>80</v>
      </c>
      <c r="P28" s="22">
        <f t="shared" si="6"/>
        <v>461.07300000000004</v>
      </c>
      <c r="Q28" s="31"/>
      <c r="R28" s="26"/>
      <c r="S28" s="35"/>
      <c r="T28" s="27"/>
      <c r="U28" s="36">
        <f t="shared" si="5"/>
        <v>0</v>
      </c>
      <c r="V28" s="3"/>
    </row>
    <row r="29" spans="1:22">
      <c r="A29" s="18">
        <v>4</v>
      </c>
      <c r="B29" s="19" t="s">
        <v>41</v>
      </c>
      <c r="C29" s="20" t="s">
        <v>30</v>
      </c>
      <c r="D29" s="20" t="s">
        <v>24</v>
      </c>
      <c r="E29" s="20"/>
      <c r="F29" s="20"/>
      <c r="G29" s="20" t="s">
        <v>25</v>
      </c>
      <c r="H29" s="21">
        <f t="shared" si="0"/>
        <v>134.75</v>
      </c>
      <c r="I29" s="21">
        <f t="shared" si="8"/>
        <v>116.47999999999999</v>
      </c>
      <c r="J29" s="21"/>
      <c r="K29" s="21"/>
      <c r="L29" s="21">
        <f t="shared" si="2"/>
        <v>83.2</v>
      </c>
      <c r="M29" s="21">
        <f t="shared" si="10"/>
        <v>334.43</v>
      </c>
      <c r="N29" s="21">
        <f t="shared" si="4"/>
        <v>367.87300000000005</v>
      </c>
      <c r="O29" s="11">
        <v>80</v>
      </c>
      <c r="P29" s="22">
        <f t="shared" si="6"/>
        <v>447.87300000000005</v>
      </c>
      <c r="Q29" s="31"/>
      <c r="R29" s="29"/>
      <c r="S29" s="30"/>
      <c r="T29" s="30"/>
      <c r="U29" s="37">
        <f t="shared" si="5"/>
        <v>0</v>
      </c>
      <c r="V29" s="3"/>
    </row>
    <row r="30" spans="1:22">
      <c r="A30" s="18">
        <v>5</v>
      </c>
      <c r="B30" s="19" t="s">
        <v>41</v>
      </c>
      <c r="C30" s="20" t="s">
        <v>30</v>
      </c>
      <c r="D30" s="20" t="s">
        <v>19</v>
      </c>
      <c r="E30" s="20"/>
      <c r="F30" s="20"/>
      <c r="G30" s="20" t="s">
        <v>18</v>
      </c>
      <c r="H30" s="21">
        <f t="shared" si="0"/>
        <v>134.75</v>
      </c>
      <c r="I30" s="21">
        <f t="shared" si="8"/>
        <v>85.679999999999993</v>
      </c>
      <c r="J30" s="21"/>
      <c r="K30" s="21"/>
      <c r="L30" s="21">
        <f t="shared" si="2"/>
        <v>88.2</v>
      </c>
      <c r="M30" s="21">
        <f t="shared" si="10"/>
        <v>308.63</v>
      </c>
      <c r="N30" s="21">
        <f t="shared" si="4"/>
        <v>339.49299999999999</v>
      </c>
      <c r="O30" s="11">
        <v>80</v>
      </c>
      <c r="P30" s="22">
        <f t="shared" si="6"/>
        <v>419.49299999999999</v>
      </c>
      <c r="Q30" s="31"/>
      <c r="R30" s="26"/>
      <c r="S30" s="35"/>
      <c r="T30" s="27"/>
      <c r="U30" s="36">
        <f t="shared" si="5"/>
        <v>0</v>
      </c>
      <c r="V30" s="3"/>
    </row>
    <row r="31" spans="1:22" ht="18" thickBot="1">
      <c r="A31" s="18">
        <v>1</v>
      </c>
      <c r="B31" s="19" t="s">
        <v>41</v>
      </c>
      <c r="C31" s="20" t="s">
        <v>45</v>
      </c>
      <c r="D31" s="20" t="s">
        <v>29</v>
      </c>
      <c r="E31" s="20"/>
      <c r="F31" s="20"/>
      <c r="G31" s="20" t="s">
        <v>44</v>
      </c>
      <c r="H31" s="21">
        <f t="shared" si="0"/>
        <v>106.2</v>
      </c>
      <c r="I31" s="21">
        <f t="shared" si="8"/>
        <v>143.63999999999999</v>
      </c>
      <c r="J31" s="21"/>
      <c r="K31" s="21"/>
      <c r="L31" s="21">
        <f t="shared" si="2"/>
        <v>88.2</v>
      </c>
      <c r="M31" s="21">
        <f t="shared" si="10"/>
        <v>338.03999999999996</v>
      </c>
      <c r="N31" s="21">
        <f t="shared" si="4"/>
        <v>371.84399999999999</v>
      </c>
      <c r="O31" s="11">
        <v>80</v>
      </c>
      <c r="P31" s="22">
        <f t="shared" si="6"/>
        <v>451.84399999999999</v>
      </c>
      <c r="Q31" s="31"/>
      <c r="R31" s="38"/>
      <c r="S31" s="39"/>
      <c r="T31" s="39"/>
      <c r="U31" s="40">
        <f t="shared" si="5"/>
        <v>0</v>
      </c>
      <c r="V31" s="3"/>
    </row>
    <row r="32" spans="1:22">
      <c r="A32" s="18">
        <v>2</v>
      </c>
      <c r="B32" s="19" t="s">
        <v>41</v>
      </c>
      <c r="C32" s="20" t="s">
        <v>31</v>
      </c>
      <c r="D32" s="20" t="s">
        <v>29</v>
      </c>
      <c r="E32" s="20"/>
      <c r="F32" s="20"/>
      <c r="G32" s="20" t="s">
        <v>46</v>
      </c>
      <c r="H32" s="21">
        <f t="shared" si="0"/>
        <v>173.25</v>
      </c>
      <c r="I32" s="21">
        <f t="shared" si="8"/>
        <v>143.63999999999999</v>
      </c>
      <c r="J32" s="21"/>
      <c r="K32" s="21"/>
      <c r="L32" s="21">
        <f t="shared" si="2"/>
        <v>138.6</v>
      </c>
      <c r="M32" s="21">
        <f t="shared" si="10"/>
        <v>455.49</v>
      </c>
      <c r="N32" s="21">
        <f t="shared" si="4"/>
        <v>501.03900000000004</v>
      </c>
      <c r="O32" s="11">
        <v>80</v>
      </c>
      <c r="P32" s="22">
        <f t="shared" si="6"/>
        <v>581.03899999999999</v>
      </c>
      <c r="Q32" s="31"/>
      <c r="R32" s="41"/>
      <c r="S32" s="41"/>
      <c r="T32" s="41"/>
      <c r="U32" s="42"/>
      <c r="V32" s="3"/>
    </row>
    <row r="33" spans="1:22">
      <c r="A33" s="18">
        <v>3</v>
      </c>
      <c r="B33" s="19" t="s">
        <v>41</v>
      </c>
      <c r="C33" s="20" t="s">
        <v>33</v>
      </c>
      <c r="D33" s="20" t="s">
        <v>40</v>
      </c>
      <c r="E33" s="20"/>
      <c r="F33" s="20"/>
      <c r="G33" s="20" t="s">
        <v>47</v>
      </c>
      <c r="H33" s="21">
        <f t="shared" si="0"/>
        <v>195.8</v>
      </c>
      <c r="I33" s="21">
        <f t="shared" si="8"/>
        <v>171.5</v>
      </c>
      <c r="J33" s="21"/>
      <c r="K33" s="21"/>
      <c r="L33" s="21">
        <f t="shared" si="2"/>
        <v>136.5</v>
      </c>
      <c r="M33" s="21">
        <f t="shared" si="10"/>
        <v>503.8</v>
      </c>
      <c r="N33" s="21">
        <f t="shared" si="4"/>
        <v>554.18000000000006</v>
      </c>
      <c r="O33" s="11">
        <v>80</v>
      </c>
      <c r="P33" s="22">
        <f t="shared" si="6"/>
        <v>634.18000000000006</v>
      </c>
      <c r="Q33" s="31"/>
      <c r="R33" s="41"/>
      <c r="S33" s="41"/>
      <c r="T33" s="41"/>
      <c r="U33" s="42"/>
      <c r="V33" s="3"/>
    </row>
    <row r="34" spans="1:22">
      <c r="A34" s="18">
        <v>4</v>
      </c>
      <c r="B34" s="19" t="s">
        <v>41</v>
      </c>
      <c r="C34" s="20" t="s">
        <v>23</v>
      </c>
      <c r="D34" s="20" t="s">
        <v>22</v>
      </c>
      <c r="E34" s="20"/>
      <c r="F34" s="20"/>
      <c r="G34" s="20" t="s">
        <v>18</v>
      </c>
      <c r="H34" s="21">
        <f t="shared" si="0"/>
        <v>144</v>
      </c>
      <c r="I34" s="21">
        <f t="shared" si="8"/>
        <v>123.47999999999999</v>
      </c>
      <c r="J34" s="21"/>
      <c r="K34" s="21"/>
      <c r="L34" s="21">
        <f t="shared" si="2"/>
        <v>88.2</v>
      </c>
      <c r="M34" s="21">
        <f t="shared" si="10"/>
        <v>355.68</v>
      </c>
      <c r="N34" s="21">
        <f t="shared" si="4"/>
        <v>391.24800000000005</v>
      </c>
      <c r="O34" s="11">
        <v>80</v>
      </c>
      <c r="P34" s="22">
        <f t="shared" si="6"/>
        <v>471.24800000000005</v>
      </c>
      <c r="Q34" s="31"/>
      <c r="R34" s="41"/>
      <c r="S34" s="41"/>
      <c r="T34" s="41"/>
      <c r="U34" s="42"/>
      <c r="V34" s="3"/>
    </row>
    <row r="35" spans="1:22">
      <c r="A35" s="18">
        <v>5</v>
      </c>
      <c r="B35" s="19" t="s">
        <v>41</v>
      </c>
      <c r="C35" s="20" t="s">
        <v>23</v>
      </c>
      <c r="D35" s="20" t="s">
        <v>29</v>
      </c>
      <c r="E35" s="20"/>
      <c r="F35" s="20"/>
      <c r="G35" s="20" t="s">
        <v>18</v>
      </c>
      <c r="H35" s="21">
        <f t="shared" si="0"/>
        <v>144</v>
      </c>
      <c r="I35" s="21">
        <f t="shared" si="8"/>
        <v>143.63999999999999</v>
      </c>
      <c r="J35" s="21"/>
      <c r="K35" s="21"/>
      <c r="L35" s="21">
        <f t="shared" si="2"/>
        <v>88.2</v>
      </c>
      <c r="M35" s="21">
        <f t="shared" si="10"/>
        <v>375.84</v>
      </c>
      <c r="N35" s="21">
        <f t="shared" si="4"/>
        <v>413.42399999999998</v>
      </c>
      <c r="O35" s="11">
        <v>80</v>
      </c>
      <c r="P35" s="22">
        <f t="shared" si="6"/>
        <v>493.42399999999998</v>
      </c>
      <c r="Q35" s="31"/>
      <c r="R35" s="41"/>
      <c r="S35" s="41"/>
      <c r="T35" s="41"/>
      <c r="U35" s="42"/>
      <c r="V35" s="3"/>
    </row>
    <row r="36" spans="1:22">
      <c r="A36" s="18">
        <v>1</v>
      </c>
      <c r="B36" s="19" t="s">
        <v>48</v>
      </c>
      <c r="C36" s="20" t="s">
        <v>21</v>
      </c>
      <c r="D36" s="20" t="s">
        <v>19</v>
      </c>
      <c r="E36" s="20"/>
      <c r="F36" s="20"/>
      <c r="G36" s="20" t="s">
        <v>18</v>
      </c>
      <c r="H36" s="21">
        <f t="shared" si="0"/>
        <v>106.2</v>
      </c>
      <c r="I36" s="21">
        <f t="shared" ref="I36:I45" si="11">VLOOKUP(D36,$R$4:$U$64,4,FALSE)*1.3</f>
        <v>79.56</v>
      </c>
      <c r="J36" s="21"/>
      <c r="K36" s="21"/>
      <c r="L36" s="21">
        <f t="shared" si="2"/>
        <v>88.2</v>
      </c>
      <c r="M36" s="21">
        <f t="shared" si="10"/>
        <v>273.95999999999998</v>
      </c>
      <c r="N36" s="21">
        <f t="shared" si="4"/>
        <v>301.35599999999999</v>
      </c>
      <c r="O36" s="11">
        <v>80</v>
      </c>
      <c r="P36" s="22">
        <f t="shared" si="6"/>
        <v>381.35599999999999</v>
      </c>
      <c r="Q36" s="31"/>
      <c r="R36" s="41"/>
      <c r="S36" s="41"/>
      <c r="T36" s="41"/>
      <c r="U36" s="42"/>
      <c r="V36" s="3"/>
    </row>
    <row r="37" spans="1:22">
      <c r="A37" s="18">
        <v>2</v>
      </c>
      <c r="B37" s="19" t="s">
        <v>48</v>
      </c>
      <c r="C37" s="20" t="s">
        <v>21</v>
      </c>
      <c r="D37" s="20" t="s">
        <v>37</v>
      </c>
      <c r="E37" s="20"/>
      <c r="F37" s="20"/>
      <c r="G37" s="20" t="s">
        <v>18</v>
      </c>
      <c r="H37" s="21">
        <f t="shared" ref="H37:H68" si="12">VLOOKUP(C37,$R$4:$U$64,4,FALSE)</f>
        <v>106.2</v>
      </c>
      <c r="I37" s="21">
        <f t="shared" si="11"/>
        <v>99.45</v>
      </c>
      <c r="J37" s="21"/>
      <c r="K37" s="21"/>
      <c r="L37" s="21">
        <f t="shared" ref="L37:L68" si="13">VLOOKUP(G37,$R$4:$U$64,4,FALSE)</f>
        <v>88.2</v>
      </c>
      <c r="M37" s="21">
        <f t="shared" si="10"/>
        <v>293.85000000000002</v>
      </c>
      <c r="N37" s="21">
        <f t="shared" si="4"/>
        <v>323.23500000000007</v>
      </c>
      <c r="O37" s="11">
        <v>80</v>
      </c>
      <c r="P37" s="22">
        <f t="shared" si="6"/>
        <v>403.23500000000007</v>
      </c>
      <c r="Q37" s="31"/>
      <c r="R37" s="41"/>
      <c r="S37" s="41"/>
      <c r="T37" s="41"/>
      <c r="U37" s="42"/>
      <c r="V37" s="3"/>
    </row>
    <row r="38" spans="1:22">
      <c r="A38" s="18">
        <v>3</v>
      </c>
      <c r="B38" s="19" t="s">
        <v>48</v>
      </c>
      <c r="C38" s="20" t="s">
        <v>21</v>
      </c>
      <c r="D38" s="20" t="s">
        <v>22</v>
      </c>
      <c r="E38" s="20"/>
      <c r="F38" s="20"/>
      <c r="G38" s="20" t="s">
        <v>18</v>
      </c>
      <c r="H38" s="21">
        <f t="shared" si="12"/>
        <v>106.2</v>
      </c>
      <c r="I38" s="21">
        <f t="shared" si="11"/>
        <v>114.66000000000001</v>
      </c>
      <c r="J38" s="21"/>
      <c r="K38" s="21"/>
      <c r="L38" s="21">
        <f t="shared" si="13"/>
        <v>88.2</v>
      </c>
      <c r="M38" s="21">
        <f t="shared" si="10"/>
        <v>309.06</v>
      </c>
      <c r="N38" s="21">
        <f t="shared" si="4"/>
        <v>339.96600000000001</v>
      </c>
      <c r="O38" s="11">
        <v>80</v>
      </c>
      <c r="P38" s="22">
        <f t="shared" si="6"/>
        <v>419.96600000000001</v>
      </c>
      <c r="Q38" s="31"/>
      <c r="R38" s="41"/>
      <c r="S38" s="41"/>
      <c r="T38" s="41"/>
      <c r="U38" s="42"/>
      <c r="V38" s="3"/>
    </row>
    <row r="39" spans="1:22">
      <c r="A39" s="43">
        <v>4</v>
      </c>
      <c r="B39" s="19" t="s">
        <v>48</v>
      </c>
      <c r="C39" s="20" t="s">
        <v>21</v>
      </c>
      <c r="D39" s="20" t="s">
        <v>24</v>
      </c>
      <c r="E39" s="20"/>
      <c r="F39" s="20"/>
      <c r="G39" s="20" t="s">
        <v>25</v>
      </c>
      <c r="H39" s="21">
        <f t="shared" si="12"/>
        <v>106.2</v>
      </c>
      <c r="I39" s="21">
        <f t="shared" si="11"/>
        <v>108.16000000000001</v>
      </c>
      <c r="J39" s="21"/>
      <c r="K39" s="21"/>
      <c r="L39" s="21">
        <f t="shared" si="13"/>
        <v>83.2</v>
      </c>
      <c r="M39" s="21">
        <f t="shared" si="10"/>
        <v>297.56</v>
      </c>
      <c r="N39" s="21">
        <f t="shared" si="4"/>
        <v>327.31600000000003</v>
      </c>
      <c r="O39" s="11">
        <v>80</v>
      </c>
      <c r="P39" s="22">
        <f t="shared" si="6"/>
        <v>407.31600000000003</v>
      </c>
      <c r="Q39" s="31"/>
      <c r="R39" s="41"/>
      <c r="S39" s="41"/>
      <c r="T39" s="41"/>
      <c r="U39" s="42"/>
      <c r="V39" s="3"/>
    </row>
    <row r="40" spans="1:22">
      <c r="A40" s="18">
        <v>5</v>
      </c>
      <c r="B40" s="19" t="s">
        <v>48</v>
      </c>
      <c r="C40" s="20" t="s">
        <v>21</v>
      </c>
      <c r="D40" s="20" t="s">
        <v>29</v>
      </c>
      <c r="E40" s="20"/>
      <c r="F40" s="20"/>
      <c r="G40" s="20" t="s">
        <v>18</v>
      </c>
      <c r="H40" s="21">
        <f t="shared" si="12"/>
        <v>106.2</v>
      </c>
      <c r="I40" s="21">
        <f t="shared" si="11"/>
        <v>133.38</v>
      </c>
      <c r="J40" s="21"/>
      <c r="K40" s="21"/>
      <c r="L40" s="21">
        <f t="shared" si="13"/>
        <v>88.2</v>
      </c>
      <c r="M40" s="21">
        <f t="shared" si="10"/>
        <v>327.78</v>
      </c>
      <c r="N40" s="21">
        <f t="shared" si="4"/>
        <v>360.55799999999999</v>
      </c>
      <c r="O40" s="11">
        <v>80</v>
      </c>
      <c r="P40" s="22">
        <f t="shared" si="6"/>
        <v>440.55799999999999</v>
      </c>
      <c r="Q40" s="31"/>
      <c r="R40" s="41"/>
      <c r="S40" s="41"/>
      <c r="T40" s="41"/>
      <c r="U40" s="42"/>
      <c r="V40" s="3"/>
    </row>
    <row r="41" spans="1:22">
      <c r="A41" s="18">
        <v>1</v>
      </c>
      <c r="B41" s="19" t="s">
        <v>48</v>
      </c>
      <c r="C41" s="20" t="s">
        <v>30</v>
      </c>
      <c r="D41" s="20" t="s">
        <v>19</v>
      </c>
      <c r="E41" s="20"/>
      <c r="F41" s="20"/>
      <c r="G41" s="20" t="s">
        <v>18</v>
      </c>
      <c r="H41" s="21">
        <f t="shared" si="12"/>
        <v>134.75</v>
      </c>
      <c r="I41" s="21">
        <f t="shared" si="11"/>
        <v>79.56</v>
      </c>
      <c r="J41" s="21"/>
      <c r="K41" s="21"/>
      <c r="L41" s="21">
        <f t="shared" si="13"/>
        <v>88.2</v>
      </c>
      <c r="M41" s="21">
        <f t="shared" si="10"/>
        <v>302.51</v>
      </c>
      <c r="N41" s="21">
        <f t="shared" si="4"/>
        <v>332.76100000000002</v>
      </c>
      <c r="O41" s="11">
        <v>80</v>
      </c>
      <c r="P41" s="22">
        <f t="shared" si="6"/>
        <v>412.76100000000002</v>
      </c>
      <c r="Q41" s="31"/>
      <c r="R41" s="41"/>
      <c r="S41" s="41"/>
      <c r="T41" s="41"/>
      <c r="U41" s="42"/>
      <c r="V41" s="3"/>
    </row>
    <row r="42" spans="1:22">
      <c r="A42" s="18">
        <v>2</v>
      </c>
      <c r="B42" s="19" t="s">
        <v>48</v>
      </c>
      <c r="C42" s="20" t="s">
        <v>30</v>
      </c>
      <c r="D42" s="20" t="s">
        <v>37</v>
      </c>
      <c r="E42" s="20"/>
      <c r="F42" s="20"/>
      <c r="G42" s="20" t="s">
        <v>18</v>
      </c>
      <c r="H42" s="21">
        <f t="shared" si="12"/>
        <v>134.75</v>
      </c>
      <c r="I42" s="21">
        <f t="shared" si="11"/>
        <v>99.45</v>
      </c>
      <c r="J42" s="21"/>
      <c r="K42" s="21"/>
      <c r="L42" s="21">
        <f t="shared" si="13"/>
        <v>88.2</v>
      </c>
      <c r="M42" s="21">
        <f t="shared" si="10"/>
        <v>322.39999999999998</v>
      </c>
      <c r="N42" s="21">
        <f t="shared" si="4"/>
        <v>354.64</v>
      </c>
      <c r="O42" s="11">
        <v>80</v>
      </c>
      <c r="P42" s="22">
        <f t="shared" si="6"/>
        <v>434.64</v>
      </c>
      <c r="Q42" s="31"/>
      <c r="R42" s="41"/>
      <c r="S42" s="41"/>
      <c r="T42" s="41"/>
      <c r="U42" s="42"/>
      <c r="V42" s="3"/>
    </row>
    <row r="43" spans="1:22">
      <c r="A43" s="18">
        <v>3</v>
      </c>
      <c r="B43" s="19" t="s">
        <v>48</v>
      </c>
      <c r="C43" s="20" t="s">
        <v>30</v>
      </c>
      <c r="D43" s="20" t="s">
        <v>22</v>
      </c>
      <c r="E43" s="20"/>
      <c r="F43" s="20"/>
      <c r="G43" s="20" t="s">
        <v>18</v>
      </c>
      <c r="H43" s="21">
        <f t="shared" si="12"/>
        <v>134.75</v>
      </c>
      <c r="I43" s="21">
        <f t="shared" si="11"/>
        <v>114.66000000000001</v>
      </c>
      <c r="J43" s="21"/>
      <c r="K43" s="21"/>
      <c r="L43" s="21">
        <f t="shared" si="13"/>
        <v>88.2</v>
      </c>
      <c r="M43" s="21">
        <f t="shared" si="10"/>
        <v>337.61</v>
      </c>
      <c r="N43" s="21">
        <f t="shared" si="4"/>
        <v>371.37100000000004</v>
      </c>
      <c r="O43" s="11">
        <v>80</v>
      </c>
      <c r="P43" s="22">
        <f t="shared" si="6"/>
        <v>451.37100000000004</v>
      </c>
      <c r="Q43" s="31"/>
      <c r="R43" s="41"/>
      <c r="S43" s="41"/>
      <c r="T43" s="41"/>
      <c r="U43" s="42"/>
      <c r="V43" s="3"/>
    </row>
    <row r="44" spans="1:22">
      <c r="A44" s="43">
        <v>4</v>
      </c>
      <c r="B44" s="19" t="s">
        <v>48</v>
      </c>
      <c r="C44" s="20" t="s">
        <v>30</v>
      </c>
      <c r="D44" s="20" t="s">
        <v>24</v>
      </c>
      <c r="E44" s="20"/>
      <c r="F44" s="20"/>
      <c r="G44" s="20" t="s">
        <v>25</v>
      </c>
      <c r="H44" s="21">
        <f t="shared" si="12"/>
        <v>134.75</v>
      </c>
      <c r="I44" s="21">
        <f t="shared" si="11"/>
        <v>108.16000000000001</v>
      </c>
      <c r="J44" s="21"/>
      <c r="K44" s="21"/>
      <c r="L44" s="21">
        <f t="shared" si="13"/>
        <v>83.2</v>
      </c>
      <c r="M44" s="21">
        <f t="shared" si="10"/>
        <v>326.11</v>
      </c>
      <c r="N44" s="21">
        <f t="shared" si="4"/>
        <v>358.72100000000006</v>
      </c>
      <c r="O44" s="11">
        <v>80</v>
      </c>
      <c r="P44" s="22">
        <f t="shared" si="6"/>
        <v>438.72100000000006</v>
      </c>
      <c r="Q44" s="31"/>
      <c r="R44" s="41"/>
      <c r="S44" s="41"/>
      <c r="T44" s="41"/>
      <c r="U44" s="42"/>
      <c r="V44" s="3"/>
    </row>
    <row r="45" spans="1:22">
      <c r="A45" s="18">
        <v>5</v>
      </c>
      <c r="B45" s="19" t="s">
        <v>48</v>
      </c>
      <c r="C45" s="20" t="s">
        <v>30</v>
      </c>
      <c r="D45" s="20" t="s">
        <v>29</v>
      </c>
      <c r="E45" s="20"/>
      <c r="F45" s="20"/>
      <c r="G45" s="20" t="s">
        <v>18</v>
      </c>
      <c r="H45" s="21">
        <f t="shared" si="12"/>
        <v>134.75</v>
      </c>
      <c r="I45" s="21">
        <f t="shared" si="11"/>
        <v>133.38</v>
      </c>
      <c r="J45" s="21"/>
      <c r="K45" s="21"/>
      <c r="L45" s="21">
        <f t="shared" si="13"/>
        <v>88.2</v>
      </c>
      <c r="M45" s="21">
        <f t="shared" si="10"/>
        <v>356.33</v>
      </c>
      <c r="N45" s="21">
        <f t="shared" si="4"/>
        <v>391.96300000000002</v>
      </c>
      <c r="O45" s="11">
        <v>80</v>
      </c>
      <c r="P45" s="22">
        <f t="shared" si="6"/>
        <v>471.96300000000002</v>
      </c>
      <c r="Q45" s="31"/>
      <c r="R45" s="41"/>
      <c r="S45" s="41"/>
      <c r="T45" s="41"/>
      <c r="U45" s="42"/>
      <c r="V45" s="3"/>
    </row>
    <row r="46" spans="1:22">
      <c r="A46" s="18">
        <v>1</v>
      </c>
      <c r="B46" s="19" t="s">
        <v>48</v>
      </c>
      <c r="C46" s="20" t="s">
        <v>20</v>
      </c>
      <c r="D46" s="20" t="s">
        <v>22</v>
      </c>
      <c r="E46" s="20"/>
      <c r="F46" s="20"/>
      <c r="G46" s="20" t="s">
        <v>18</v>
      </c>
      <c r="H46" s="21">
        <f t="shared" si="12"/>
        <v>61.2</v>
      </c>
      <c r="I46" s="21">
        <f t="shared" ref="I46:I77" si="14">VLOOKUP(D46,$R$4:$U$64,4,FALSE)*1.4</f>
        <v>123.47999999999999</v>
      </c>
      <c r="J46" s="21"/>
      <c r="K46" s="21"/>
      <c r="L46" s="21">
        <f t="shared" si="13"/>
        <v>88.2</v>
      </c>
      <c r="M46" s="21">
        <f t="shared" si="10"/>
        <v>272.88</v>
      </c>
      <c r="N46" s="21">
        <f t="shared" si="4"/>
        <v>300.16800000000001</v>
      </c>
      <c r="O46" s="11">
        <v>80</v>
      </c>
      <c r="P46" s="22">
        <f t="shared" si="6"/>
        <v>380.16800000000001</v>
      </c>
      <c r="Q46" s="31"/>
      <c r="R46" s="41"/>
      <c r="S46" s="41"/>
      <c r="T46" s="41"/>
      <c r="U46" s="42"/>
      <c r="V46" s="3"/>
    </row>
    <row r="47" spans="1:22">
      <c r="A47" s="18">
        <v>2</v>
      </c>
      <c r="B47" s="19" t="s">
        <v>48</v>
      </c>
      <c r="C47" s="20" t="s">
        <v>30</v>
      </c>
      <c r="D47" s="20" t="s">
        <v>22</v>
      </c>
      <c r="E47" s="20"/>
      <c r="F47" s="20"/>
      <c r="G47" s="20" t="s">
        <v>42</v>
      </c>
      <c r="H47" s="21">
        <f t="shared" si="12"/>
        <v>134.75</v>
      </c>
      <c r="I47" s="21">
        <f t="shared" si="14"/>
        <v>123.47999999999999</v>
      </c>
      <c r="J47" s="21"/>
      <c r="K47" s="21"/>
      <c r="L47" s="21">
        <f t="shared" si="13"/>
        <v>134.75</v>
      </c>
      <c r="M47" s="21">
        <f t="shared" si="10"/>
        <v>392.98</v>
      </c>
      <c r="N47" s="21">
        <f t="shared" si="4"/>
        <v>432.27800000000008</v>
      </c>
      <c r="O47" s="11">
        <v>80</v>
      </c>
      <c r="P47" s="22">
        <f t="shared" si="6"/>
        <v>512.27800000000002</v>
      </c>
      <c r="Q47" s="31"/>
      <c r="R47" s="41"/>
      <c r="S47" s="41"/>
      <c r="T47" s="41"/>
      <c r="U47" s="42"/>
      <c r="V47" s="3"/>
    </row>
    <row r="48" spans="1:22">
      <c r="A48" s="18">
        <v>3</v>
      </c>
      <c r="B48" s="19" t="s">
        <v>48</v>
      </c>
      <c r="C48" s="20" t="s">
        <v>23</v>
      </c>
      <c r="D48" s="20" t="s">
        <v>19</v>
      </c>
      <c r="E48" s="20"/>
      <c r="F48" s="20"/>
      <c r="G48" s="20" t="s">
        <v>44</v>
      </c>
      <c r="H48" s="21">
        <f t="shared" si="12"/>
        <v>144</v>
      </c>
      <c r="I48" s="21">
        <f t="shared" si="14"/>
        <v>85.679999999999993</v>
      </c>
      <c r="J48" s="21"/>
      <c r="K48" s="21"/>
      <c r="L48" s="21">
        <f t="shared" si="13"/>
        <v>88.2</v>
      </c>
      <c r="M48" s="21">
        <f t="shared" si="10"/>
        <v>317.88</v>
      </c>
      <c r="N48" s="21">
        <f t="shared" si="4"/>
        <v>349.66800000000001</v>
      </c>
      <c r="O48" s="11">
        <v>80</v>
      </c>
      <c r="P48" s="22">
        <f t="shared" si="6"/>
        <v>429.66800000000001</v>
      </c>
      <c r="Q48" s="31"/>
      <c r="R48" s="41"/>
      <c r="S48" s="41"/>
      <c r="T48" s="41"/>
      <c r="U48" s="42"/>
      <c r="V48" s="3"/>
    </row>
    <row r="49" spans="1:22">
      <c r="A49" s="18">
        <v>5</v>
      </c>
      <c r="B49" s="19" t="s">
        <v>48</v>
      </c>
      <c r="C49" s="20" t="s">
        <v>23</v>
      </c>
      <c r="D49" s="20" t="s">
        <v>29</v>
      </c>
      <c r="E49" s="20"/>
      <c r="F49" s="20"/>
      <c r="G49" s="20" t="s">
        <v>18</v>
      </c>
      <c r="H49" s="21">
        <f t="shared" si="12"/>
        <v>144</v>
      </c>
      <c r="I49" s="21">
        <f t="shared" si="14"/>
        <v>143.63999999999999</v>
      </c>
      <c r="J49" s="21"/>
      <c r="K49" s="21"/>
      <c r="L49" s="21">
        <f t="shared" si="13"/>
        <v>88.2</v>
      </c>
      <c r="M49" s="21">
        <f t="shared" si="10"/>
        <v>375.84</v>
      </c>
      <c r="N49" s="21">
        <f t="shared" si="4"/>
        <v>413.42399999999998</v>
      </c>
      <c r="O49" s="11">
        <v>80</v>
      </c>
      <c r="P49" s="22">
        <f t="shared" si="6"/>
        <v>493.42399999999998</v>
      </c>
      <c r="Q49" s="31"/>
      <c r="R49" s="41"/>
      <c r="S49" s="41"/>
      <c r="T49" s="41"/>
      <c r="U49" s="42"/>
      <c r="V49" s="3"/>
    </row>
    <row r="50" spans="1:22">
      <c r="A50" s="18">
        <v>1</v>
      </c>
      <c r="B50" s="19" t="s">
        <v>50</v>
      </c>
      <c r="C50" s="20" t="s">
        <v>51</v>
      </c>
      <c r="D50" s="20" t="s">
        <v>19</v>
      </c>
      <c r="E50" s="20" t="s">
        <v>19</v>
      </c>
      <c r="F50" s="20" t="s">
        <v>19</v>
      </c>
      <c r="G50" s="20" t="s">
        <v>18</v>
      </c>
      <c r="H50" s="21">
        <f t="shared" si="12"/>
        <v>144</v>
      </c>
      <c r="I50" s="21">
        <f t="shared" si="14"/>
        <v>85.679999999999993</v>
      </c>
      <c r="J50" s="21">
        <f t="shared" ref="J50:J81" si="15">VLOOKUP(E50,$R$4:$U$64,4,FALSE)*1</f>
        <v>61.2</v>
      </c>
      <c r="K50" s="21">
        <f t="shared" ref="K50:K70" si="16">VLOOKUP(F50,$R$4:$U$64,4,FALSE)*1.6</f>
        <v>97.920000000000016</v>
      </c>
      <c r="L50" s="21">
        <f t="shared" si="13"/>
        <v>88.2</v>
      </c>
      <c r="M50" s="21">
        <f t="shared" ref="M50:M52" si="17">SUM(H50:L50)</f>
        <v>477</v>
      </c>
      <c r="N50" s="21">
        <f t="shared" si="4"/>
        <v>524.70000000000005</v>
      </c>
      <c r="O50" s="11">
        <v>100</v>
      </c>
      <c r="P50" s="22">
        <f t="shared" si="6"/>
        <v>624.70000000000005</v>
      </c>
      <c r="Q50" s="31"/>
      <c r="R50" s="41"/>
      <c r="S50" s="41"/>
      <c r="T50" s="41"/>
      <c r="U50" s="42"/>
      <c r="V50" s="3"/>
    </row>
    <row r="51" spans="1:22">
      <c r="A51" s="18">
        <v>1</v>
      </c>
      <c r="B51" s="19" t="s">
        <v>50</v>
      </c>
      <c r="C51" s="20" t="s">
        <v>52</v>
      </c>
      <c r="D51" s="20" t="s">
        <v>29</v>
      </c>
      <c r="E51" s="20" t="s">
        <v>22</v>
      </c>
      <c r="F51" s="20" t="s">
        <v>29</v>
      </c>
      <c r="G51" s="20" t="s">
        <v>18</v>
      </c>
      <c r="H51" s="21">
        <f t="shared" si="12"/>
        <v>106.2</v>
      </c>
      <c r="I51" s="21">
        <f t="shared" si="14"/>
        <v>143.63999999999999</v>
      </c>
      <c r="J51" s="21">
        <f t="shared" si="15"/>
        <v>88.2</v>
      </c>
      <c r="K51" s="21">
        <f t="shared" si="16"/>
        <v>164.16</v>
      </c>
      <c r="L51" s="21">
        <f t="shared" si="13"/>
        <v>88.2</v>
      </c>
      <c r="M51" s="21">
        <f t="shared" si="17"/>
        <v>590.4</v>
      </c>
      <c r="N51" s="21">
        <f t="shared" si="4"/>
        <v>649.44000000000005</v>
      </c>
      <c r="O51" s="11">
        <v>100</v>
      </c>
      <c r="P51" s="22">
        <f t="shared" si="6"/>
        <v>749.44</v>
      </c>
      <c r="Q51" s="31"/>
      <c r="R51" s="41"/>
      <c r="S51" s="41"/>
      <c r="T51" s="41"/>
      <c r="U51" s="42"/>
      <c r="V51" s="3"/>
    </row>
    <row r="52" spans="1:22">
      <c r="A52" s="18">
        <v>1</v>
      </c>
      <c r="B52" s="19" t="s">
        <v>50</v>
      </c>
      <c r="C52" s="20" t="s">
        <v>21</v>
      </c>
      <c r="D52" s="20" t="s">
        <v>70</v>
      </c>
      <c r="E52" s="20" t="s">
        <v>70</v>
      </c>
      <c r="F52" s="20" t="s">
        <v>70</v>
      </c>
      <c r="G52" s="20" t="s">
        <v>18</v>
      </c>
      <c r="H52" s="21">
        <f t="shared" si="12"/>
        <v>106.2</v>
      </c>
      <c r="I52" s="21">
        <f t="shared" si="14"/>
        <v>78.539999999999992</v>
      </c>
      <c r="J52" s="21">
        <f t="shared" si="15"/>
        <v>56.1</v>
      </c>
      <c r="K52" s="21">
        <f t="shared" si="16"/>
        <v>89.76</v>
      </c>
      <c r="L52" s="21">
        <f t="shared" si="13"/>
        <v>88.2</v>
      </c>
      <c r="M52" s="21">
        <f t="shared" si="17"/>
        <v>418.8</v>
      </c>
      <c r="N52" s="21">
        <f t="shared" si="4"/>
        <v>460.68000000000006</v>
      </c>
      <c r="O52" s="11">
        <v>100</v>
      </c>
      <c r="P52" s="22">
        <f t="shared" si="6"/>
        <v>560.68000000000006</v>
      </c>
      <c r="Q52" s="31"/>
      <c r="R52" s="41"/>
      <c r="S52" s="41"/>
      <c r="T52" s="41"/>
      <c r="U52" s="42"/>
      <c r="V52" s="3"/>
    </row>
    <row r="53" spans="1:22">
      <c r="A53" s="18">
        <v>1</v>
      </c>
      <c r="B53" s="19" t="s">
        <v>50</v>
      </c>
      <c r="C53" s="20" t="s">
        <v>21</v>
      </c>
      <c r="D53" s="20" t="s">
        <v>19</v>
      </c>
      <c r="E53" s="20" t="s">
        <v>19</v>
      </c>
      <c r="F53" s="20" t="s">
        <v>22</v>
      </c>
      <c r="G53" s="20" t="s">
        <v>21</v>
      </c>
      <c r="H53" s="21">
        <f t="shared" si="12"/>
        <v>106.2</v>
      </c>
      <c r="I53" s="21">
        <f t="shared" si="14"/>
        <v>85.679999999999993</v>
      </c>
      <c r="J53" s="21">
        <f t="shared" si="15"/>
        <v>61.2</v>
      </c>
      <c r="K53" s="21">
        <f t="shared" si="16"/>
        <v>141.12</v>
      </c>
      <c r="L53" s="21">
        <f t="shared" si="13"/>
        <v>106.2</v>
      </c>
      <c r="M53" s="21">
        <f t="shared" si="10"/>
        <v>500.4</v>
      </c>
      <c r="N53" s="21">
        <f t="shared" si="4"/>
        <v>550.44000000000005</v>
      </c>
      <c r="O53" s="11">
        <v>100</v>
      </c>
      <c r="P53" s="22">
        <f t="shared" si="6"/>
        <v>650.44000000000005</v>
      </c>
      <c r="Q53" s="31"/>
      <c r="R53" s="41"/>
      <c r="S53" s="41"/>
      <c r="T53" s="41"/>
      <c r="U53" s="42"/>
      <c r="V53" s="3"/>
    </row>
    <row r="54" spans="1:22">
      <c r="A54" s="18">
        <v>2</v>
      </c>
      <c r="B54" s="19" t="s">
        <v>50</v>
      </c>
      <c r="C54" s="20" t="s">
        <v>21</v>
      </c>
      <c r="D54" s="20" t="s">
        <v>19</v>
      </c>
      <c r="E54" s="20" t="s">
        <v>19</v>
      </c>
      <c r="F54" s="20" t="s">
        <v>19</v>
      </c>
      <c r="G54" s="20" t="s">
        <v>38</v>
      </c>
      <c r="H54" s="21">
        <f t="shared" si="12"/>
        <v>106.2</v>
      </c>
      <c r="I54" s="21">
        <f t="shared" si="14"/>
        <v>85.679999999999993</v>
      </c>
      <c r="J54" s="21">
        <f t="shared" si="15"/>
        <v>61.2</v>
      </c>
      <c r="K54" s="21">
        <f t="shared" si="16"/>
        <v>97.920000000000016</v>
      </c>
      <c r="L54" s="21">
        <f t="shared" si="13"/>
        <v>76.5</v>
      </c>
      <c r="M54" s="21">
        <f t="shared" si="10"/>
        <v>427.5</v>
      </c>
      <c r="N54" s="21">
        <f t="shared" si="4"/>
        <v>470.25000000000006</v>
      </c>
      <c r="O54" s="11">
        <v>100</v>
      </c>
      <c r="P54" s="22">
        <f t="shared" si="6"/>
        <v>570.25</v>
      </c>
      <c r="Q54" s="31"/>
      <c r="R54" s="41"/>
      <c r="S54" s="41"/>
      <c r="T54" s="41"/>
      <c r="U54" s="42"/>
      <c r="V54" s="3"/>
    </row>
    <row r="55" spans="1:22">
      <c r="A55" s="18">
        <v>3</v>
      </c>
      <c r="B55" s="19" t="s">
        <v>50</v>
      </c>
      <c r="C55" s="20" t="s">
        <v>21</v>
      </c>
      <c r="D55" s="20" t="s">
        <v>22</v>
      </c>
      <c r="E55" s="20" t="s">
        <v>22</v>
      </c>
      <c r="F55" s="20" t="s">
        <v>22</v>
      </c>
      <c r="G55" s="20" t="s">
        <v>18</v>
      </c>
      <c r="H55" s="21">
        <f t="shared" si="12"/>
        <v>106.2</v>
      </c>
      <c r="I55" s="21">
        <f t="shared" si="14"/>
        <v>123.47999999999999</v>
      </c>
      <c r="J55" s="21">
        <f t="shared" si="15"/>
        <v>88.2</v>
      </c>
      <c r="K55" s="21">
        <f t="shared" si="16"/>
        <v>141.12</v>
      </c>
      <c r="L55" s="21">
        <f t="shared" si="13"/>
        <v>88.2</v>
      </c>
      <c r="M55" s="21">
        <f t="shared" si="10"/>
        <v>547.20000000000005</v>
      </c>
      <c r="N55" s="21">
        <f t="shared" si="4"/>
        <v>601.92000000000007</v>
      </c>
      <c r="O55" s="11">
        <v>100</v>
      </c>
      <c r="P55" s="22">
        <f t="shared" si="6"/>
        <v>701.92000000000007</v>
      </c>
      <c r="Q55" s="31"/>
      <c r="R55" s="41"/>
      <c r="S55" s="41"/>
      <c r="T55" s="41"/>
      <c r="U55" s="42"/>
      <c r="V55" s="3"/>
    </row>
    <row r="56" spans="1:22">
      <c r="A56" s="18">
        <v>4</v>
      </c>
      <c r="B56" s="19" t="s">
        <v>50</v>
      </c>
      <c r="C56" s="20" t="s">
        <v>21</v>
      </c>
      <c r="D56" s="20" t="s">
        <v>22</v>
      </c>
      <c r="E56" s="20" t="s">
        <v>22</v>
      </c>
      <c r="F56" s="20" t="s">
        <v>22</v>
      </c>
      <c r="G56" s="20" t="s">
        <v>18</v>
      </c>
      <c r="H56" s="21">
        <f t="shared" si="12"/>
        <v>106.2</v>
      </c>
      <c r="I56" s="21">
        <f t="shared" si="14"/>
        <v>123.47999999999999</v>
      </c>
      <c r="J56" s="21">
        <f t="shared" si="15"/>
        <v>88.2</v>
      </c>
      <c r="K56" s="21">
        <f t="shared" si="16"/>
        <v>141.12</v>
      </c>
      <c r="L56" s="21">
        <f t="shared" si="13"/>
        <v>88.2</v>
      </c>
      <c r="M56" s="21">
        <f t="shared" si="10"/>
        <v>547.20000000000005</v>
      </c>
      <c r="N56" s="21">
        <f t="shared" si="4"/>
        <v>601.92000000000007</v>
      </c>
      <c r="O56" s="11">
        <v>100</v>
      </c>
      <c r="P56" s="22">
        <f t="shared" si="6"/>
        <v>701.92000000000007</v>
      </c>
      <c r="Q56" s="31"/>
      <c r="R56" s="41"/>
      <c r="S56" s="41"/>
      <c r="T56" s="41"/>
      <c r="U56" s="42"/>
      <c r="V56" s="3"/>
    </row>
    <row r="57" spans="1:22">
      <c r="A57" s="18">
        <v>7</v>
      </c>
      <c r="B57" s="19" t="s">
        <v>50</v>
      </c>
      <c r="C57" s="20" t="s">
        <v>21</v>
      </c>
      <c r="D57" s="20" t="s">
        <v>19</v>
      </c>
      <c r="E57" s="20" t="s">
        <v>22</v>
      </c>
      <c r="F57" s="20" t="s">
        <v>19</v>
      </c>
      <c r="G57" s="20" t="s">
        <v>18</v>
      </c>
      <c r="H57" s="21">
        <f t="shared" si="12"/>
        <v>106.2</v>
      </c>
      <c r="I57" s="21">
        <f t="shared" si="14"/>
        <v>85.679999999999993</v>
      </c>
      <c r="J57" s="21">
        <f t="shared" si="15"/>
        <v>88.2</v>
      </c>
      <c r="K57" s="21">
        <f t="shared" si="16"/>
        <v>97.920000000000016</v>
      </c>
      <c r="L57" s="21">
        <f t="shared" si="13"/>
        <v>88.2</v>
      </c>
      <c r="M57" s="21">
        <f t="shared" si="10"/>
        <v>466.2</v>
      </c>
      <c r="N57" s="21">
        <f t="shared" si="4"/>
        <v>512.82000000000005</v>
      </c>
      <c r="O57" s="11">
        <v>100</v>
      </c>
      <c r="P57" s="22">
        <f t="shared" si="6"/>
        <v>612.82000000000005</v>
      </c>
      <c r="Q57" s="31"/>
      <c r="R57" s="41"/>
      <c r="S57" s="41"/>
      <c r="T57" s="41"/>
      <c r="U57" s="42"/>
      <c r="V57" s="3"/>
    </row>
    <row r="58" spans="1:22">
      <c r="A58" s="18">
        <v>8</v>
      </c>
      <c r="B58" s="19" t="s">
        <v>50</v>
      </c>
      <c r="C58" s="20" t="s">
        <v>21</v>
      </c>
      <c r="D58" s="20" t="s">
        <v>24</v>
      </c>
      <c r="E58" s="20" t="s">
        <v>19</v>
      </c>
      <c r="F58" s="20" t="s">
        <v>24</v>
      </c>
      <c r="G58" s="20" t="s">
        <v>25</v>
      </c>
      <c r="H58" s="21">
        <f t="shared" si="12"/>
        <v>106.2</v>
      </c>
      <c r="I58" s="21">
        <f t="shared" si="14"/>
        <v>116.47999999999999</v>
      </c>
      <c r="J58" s="21">
        <f t="shared" si="15"/>
        <v>61.2</v>
      </c>
      <c r="K58" s="21">
        <f t="shared" si="16"/>
        <v>133.12</v>
      </c>
      <c r="L58" s="21">
        <f t="shared" si="13"/>
        <v>83.2</v>
      </c>
      <c r="M58" s="21">
        <f t="shared" si="10"/>
        <v>500.2</v>
      </c>
      <c r="N58" s="21">
        <f t="shared" si="4"/>
        <v>550.22</v>
      </c>
      <c r="O58" s="11">
        <v>100</v>
      </c>
      <c r="P58" s="22">
        <f t="shared" si="6"/>
        <v>650.22</v>
      </c>
      <c r="Q58" s="31"/>
      <c r="R58" s="41"/>
      <c r="S58" s="41"/>
      <c r="T58" s="41"/>
      <c r="U58" s="42"/>
      <c r="V58" s="3"/>
    </row>
    <row r="59" spans="1:22">
      <c r="A59" s="18">
        <v>1</v>
      </c>
      <c r="B59" s="19" t="s">
        <v>50</v>
      </c>
      <c r="C59" s="20" t="s">
        <v>30</v>
      </c>
      <c r="D59" s="20" t="s">
        <v>19</v>
      </c>
      <c r="E59" s="20" t="s">
        <v>19</v>
      </c>
      <c r="F59" s="20" t="s">
        <v>19</v>
      </c>
      <c r="G59" s="20" t="s">
        <v>18</v>
      </c>
      <c r="H59" s="21">
        <f t="shared" si="12"/>
        <v>134.75</v>
      </c>
      <c r="I59" s="21">
        <f t="shared" si="14"/>
        <v>85.679999999999993</v>
      </c>
      <c r="J59" s="21">
        <f t="shared" si="15"/>
        <v>61.2</v>
      </c>
      <c r="K59" s="21">
        <f t="shared" si="16"/>
        <v>97.920000000000016</v>
      </c>
      <c r="L59" s="21">
        <f t="shared" si="13"/>
        <v>88.2</v>
      </c>
      <c r="M59" s="21">
        <f t="shared" si="10"/>
        <v>467.75</v>
      </c>
      <c r="N59" s="21">
        <f t="shared" si="4"/>
        <v>514.52500000000009</v>
      </c>
      <c r="O59" s="11">
        <v>100</v>
      </c>
      <c r="P59" s="22">
        <f t="shared" si="6"/>
        <v>614.52500000000009</v>
      </c>
      <c r="Q59" s="31"/>
      <c r="R59" s="41"/>
      <c r="S59" s="41"/>
      <c r="T59" s="41"/>
      <c r="U59" s="42"/>
      <c r="V59" s="3"/>
    </row>
    <row r="60" spans="1:22">
      <c r="A60" s="18">
        <v>2</v>
      </c>
      <c r="B60" s="19" t="s">
        <v>50</v>
      </c>
      <c r="C60" s="20" t="s">
        <v>30</v>
      </c>
      <c r="D60" s="20" t="s">
        <v>19</v>
      </c>
      <c r="E60" s="20" t="s">
        <v>19</v>
      </c>
      <c r="F60" s="20" t="s">
        <v>19</v>
      </c>
      <c r="G60" s="20" t="s">
        <v>18</v>
      </c>
      <c r="H60" s="21">
        <f t="shared" si="12"/>
        <v>134.75</v>
      </c>
      <c r="I60" s="21">
        <f t="shared" si="14"/>
        <v>85.679999999999993</v>
      </c>
      <c r="J60" s="21">
        <f t="shared" si="15"/>
        <v>61.2</v>
      </c>
      <c r="K60" s="21">
        <f t="shared" si="16"/>
        <v>97.920000000000016</v>
      </c>
      <c r="L60" s="21">
        <f t="shared" si="13"/>
        <v>88.2</v>
      </c>
      <c r="M60" s="21">
        <f t="shared" si="10"/>
        <v>467.75</v>
      </c>
      <c r="N60" s="21">
        <f t="shared" si="4"/>
        <v>514.52500000000009</v>
      </c>
      <c r="O60" s="11">
        <v>100</v>
      </c>
      <c r="P60" s="22">
        <f t="shared" si="6"/>
        <v>614.52500000000009</v>
      </c>
      <c r="Q60" s="31"/>
      <c r="R60" s="41"/>
      <c r="S60" s="41"/>
      <c r="T60" s="41"/>
      <c r="U60" s="42"/>
      <c r="V60" s="3"/>
    </row>
    <row r="61" spans="1:22">
      <c r="A61" s="18">
        <v>3</v>
      </c>
      <c r="B61" s="19" t="s">
        <v>50</v>
      </c>
      <c r="C61" s="20" t="s">
        <v>30</v>
      </c>
      <c r="D61" s="20" t="s">
        <v>19</v>
      </c>
      <c r="E61" s="20" t="s">
        <v>19</v>
      </c>
      <c r="F61" s="20" t="s">
        <v>37</v>
      </c>
      <c r="G61" s="20" t="s">
        <v>18</v>
      </c>
      <c r="H61" s="21">
        <f t="shared" si="12"/>
        <v>134.75</v>
      </c>
      <c r="I61" s="21">
        <f t="shared" si="14"/>
        <v>85.679999999999993</v>
      </c>
      <c r="J61" s="21">
        <f t="shared" si="15"/>
        <v>61.2</v>
      </c>
      <c r="K61" s="21">
        <f t="shared" si="16"/>
        <v>122.4</v>
      </c>
      <c r="L61" s="21">
        <f t="shared" si="13"/>
        <v>88.2</v>
      </c>
      <c r="M61" s="21">
        <f t="shared" si="10"/>
        <v>492.22999999999996</v>
      </c>
      <c r="N61" s="21">
        <f t="shared" si="4"/>
        <v>541.45299999999997</v>
      </c>
      <c r="O61" s="11">
        <v>100</v>
      </c>
      <c r="P61" s="22">
        <f t="shared" si="6"/>
        <v>641.45299999999997</v>
      </c>
      <c r="Q61" s="31"/>
      <c r="R61" s="41"/>
      <c r="S61" s="41"/>
      <c r="T61" s="41"/>
      <c r="U61" s="42"/>
      <c r="V61" s="3"/>
    </row>
    <row r="62" spans="1:22">
      <c r="A62" s="18">
        <v>4</v>
      </c>
      <c r="B62" s="19" t="s">
        <v>50</v>
      </c>
      <c r="C62" s="20" t="s">
        <v>30</v>
      </c>
      <c r="D62" s="20" t="s">
        <v>19</v>
      </c>
      <c r="E62" s="20" t="s">
        <v>19</v>
      </c>
      <c r="F62" s="20" t="s">
        <v>22</v>
      </c>
      <c r="G62" s="20" t="s">
        <v>18</v>
      </c>
      <c r="H62" s="21">
        <f t="shared" si="12"/>
        <v>134.75</v>
      </c>
      <c r="I62" s="21">
        <f t="shared" si="14"/>
        <v>85.679999999999993</v>
      </c>
      <c r="J62" s="21">
        <f t="shared" si="15"/>
        <v>61.2</v>
      </c>
      <c r="K62" s="21">
        <f t="shared" si="16"/>
        <v>141.12</v>
      </c>
      <c r="L62" s="21">
        <f t="shared" si="13"/>
        <v>88.2</v>
      </c>
      <c r="M62" s="21">
        <f t="shared" si="10"/>
        <v>510.95</v>
      </c>
      <c r="N62" s="21">
        <f t="shared" si="4"/>
        <v>562.04500000000007</v>
      </c>
      <c r="O62" s="11">
        <v>100</v>
      </c>
      <c r="P62" s="22">
        <f t="shared" si="6"/>
        <v>662.04500000000007</v>
      </c>
      <c r="Q62" s="31"/>
      <c r="R62" s="41"/>
      <c r="S62" s="41"/>
      <c r="T62" s="41"/>
      <c r="U62" s="42"/>
      <c r="V62" s="3"/>
    </row>
    <row r="63" spans="1:22">
      <c r="A63" s="18">
        <v>7</v>
      </c>
      <c r="B63" s="19" t="s">
        <v>50</v>
      </c>
      <c r="C63" s="20" t="s">
        <v>30</v>
      </c>
      <c r="D63" s="20" t="s">
        <v>22</v>
      </c>
      <c r="E63" s="20" t="s">
        <v>22</v>
      </c>
      <c r="F63" s="20" t="s">
        <v>22</v>
      </c>
      <c r="G63" s="20" t="s">
        <v>44</v>
      </c>
      <c r="H63" s="21">
        <f t="shared" si="12"/>
        <v>134.75</v>
      </c>
      <c r="I63" s="21">
        <f t="shared" si="14"/>
        <v>123.47999999999999</v>
      </c>
      <c r="J63" s="21">
        <f t="shared" si="15"/>
        <v>88.2</v>
      </c>
      <c r="K63" s="21">
        <f t="shared" si="16"/>
        <v>141.12</v>
      </c>
      <c r="L63" s="21">
        <f t="shared" si="13"/>
        <v>88.2</v>
      </c>
      <c r="M63" s="21">
        <f t="shared" si="10"/>
        <v>575.75</v>
      </c>
      <c r="N63" s="21">
        <f t="shared" si="4"/>
        <v>633.32500000000005</v>
      </c>
      <c r="O63" s="11">
        <v>100</v>
      </c>
      <c r="P63" s="22">
        <f t="shared" si="6"/>
        <v>733.32500000000005</v>
      </c>
      <c r="Q63" s="31"/>
      <c r="R63" s="41"/>
      <c r="S63" s="41"/>
      <c r="T63" s="41"/>
      <c r="U63" s="42"/>
      <c r="V63" s="3"/>
    </row>
    <row r="64" spans="1:22">
      <c r="A64" s="18">
        <v>8</v>
      </c>
      <c r="B64" s="19" t="s">
        <v>50</v>
      </c>
      <c r="C64" s="20" t="s">
        <v>30</v>
      </c>
      <c r="D64" s="20" t="s">
        <v>29</v>
      </c>
      <c r="E64" s="20" t="s">
        <v>22</v>
      </c>
      <c r="F64" s="20" t="s">
        <v>29</v>
      </c>
      <c r="G64" s="20" t="s">
        <v>18</v>
      </c>
      <c r="H64" s="21">
        <f t="shared" si="12"/>
        <v>134.75</v>
      </c>
      <c r="I64" s="21">
        <f t="shared" si="14"/>
        <v>143.63999999999999</v>
      </c>
      <c r="J64" s="21">
        <f t="shared" si="15"/>
        <v>88.2</v>
      </c>
      <c r="K64" s="21">
        <f t="shared" si="16"/>
        <v>164.16</v>
      </c>
      <c r="L64" s="21">
        <f t="shared" si="13"/>
        <v>88.2</v>
      </c>
      <c r="M64" s="21">
        <f t="shared" si="10"/>
        <v>618.95000000000005</v>
      </c>
      <c r="N64" s="21">
        <f t="shared" si="4"/>
        <v>680.84500000000014</v>
      </c>
      <c r="O64" s="11">
        <v>100</v>
      </c>
      <c r="P64" s="22">
        <f t="shared" si="6"/>
        <v>780.84500000000014</v>
      </c>
      <c r="Q64" s="31"/>
      <c r="R64" s="41"/>
      <c r="S64" s="41"/>
      <c r="T64" s="41"/>
      <c r="U64" s="42"/>
      <c r="V64" s="3"/>
    </row>
    <row r="65" spans="1:22">
      <c r="A65" s="18">
        <v>1</v>
      </c>
      <c r="B65" s="19" t="s">
        <v>50</v>
      </c>
      <c r="C65" s="20" t="s">
        <v>23</v>
      </c>
      <c r="D65" s="20" t="s">
        <v>19</v>
      </c>
      <c r="E65" s="20" t="s">
        <v>19</v>
      </c>
      <c r="F65" s="20" t="s">
        <v>24</v>
      </c>
      <c r="G65" s="20" t="s">
        <v>25</v>
      </c>
      <c r="H65" s="21">
        <f t="shared" si="12"/>
        <v>144</v>
      </c>
      <c r="I65" s="21">
        <f t="shared" si="14"/>
        <v>85.679999999999993</v>
      </c>
      <c r="J65" s="21">
        <f t="shared" si="15"/>
        <v>61.2</v>
      </c>
      <c r="K65" s="21">
        <f t="shared" si="16"/>
        <v>133.12</v>
      </c>
      <c r="L65" s="21">
        <f t="shared" si="13"/>
        <v>83.2</v>
      </c>
      <c r="M65" s="21">
        <f t="shared" si="10"/>
        <v>507.2</v>
      </c>
      <c r="N65" s="21">
        <f t="shared" si="4"/>
        <v>557.92000000000007</v>
      </c>
      <c r="O65" s="11">
        <v>100</v>
      </c>
      <c r="P65" s="22">
        <f t="shared" si="6"/>
        <v>657.92000000000007</v>
      </c>
      <c r="Q65" s="31"/>
      <c r="R65" s="41"/>
      <c r="S65" s="41"/>
      <c r="T65" s="41"/>
      <c r="U65" s="42"/>
      <c r="V65" s="3"/>
    </row>
    <row r="66" spans="1:22">
      <c r="A66" s="18">
        <v>2</v>
      </c>
      <c r="B66" s="19" t="s">
        <v>50</v>
      </c>
      <c r="C66" s="20" t="s">
        <v>23</v>
      </c>
      <c r="D66" s="20" t="s">
        <v>19</v>
      </c>
      <c r="E66" s="20" t="s">
        <v>19</v>
      </c>
      <c r="F66" s="20" t="s">
        <v>19</v>
      </c>
      <c r="G66" s="20" t="s">
        <v>38</v>
      </c>
      <c r="H66" s="21">
        <f t="shared" si="12"/>
        <v>144</v>
      </c>
      <c r="I66" s="21">
        <f t="shared" si="14"/>
        <v>85.679999999999993</v>
      </c>
      <c r="J66" s="21">
        <f t="shared" si="15"/>
        <v>61.2</v>
      </c>
      <c r="K66" s="21">
        <f t="shared" si="16"/>
        <v>97.920000000000016</v>
      </c>
      <c r="L66" s="21">
        <f t="shared" si="13"/>
        <v>76.5</v>
      </c>
      <c r="M66" s="21">
        <f t="shared" si="10"/>
        <v>465.3</v>
      </c>
      <c r="N66" s="21">
        <f t="shared" si="4"/>
        <v>511.83000000000004</v>
      </c>
      <c r="O66" s="11">
        <v>100</v>
      </c>
      <c r="P66" s="22">
        <f t="shared" si="6"/>
        <v>611.83000000000004</v>
      </c>
      <c r="Q66" s="31"/>
      <c r="R66" s="1"/>
      <c r="S66" s="1"/>
      <c r="T66" s="1"/>
      <c r="U66" s="2"/>
      <c r="V66" s="3"/>
    </row>
    <row r="67" spans="1:22">
      <c r="A67" s="18">
        <v>3</v>
      </c>
      <c r="B67" s="19" t="s">
        <v>50</v>
      </c>
      <c r="C67" s="20" t="s">
        <v>23</v>
      </c>
      <c r="D67" s="20" t="s">
        <v>19</v>
      </c>
      <c r="E67" s="20" t="s">
        <v>19</v>
      </c>
      <c r="F67" s="20" t="s">
        <v>37</v>
      </c>
      <c r="G67" s="20" t="s">
        <v>18</v>
      </c>
      <c r="H67" s="21">
        <f t="shared" si="12"/>
        <v>144</v>
      </c>
      <c r="I67" s="21">
        <f t="shared" si="14"/>
        <v>85.679999999999993</v>
      </c>
      <c r="J67" s="21">
        <f t="shared" si="15"/>
        <v>61.2</v>
      </c>
      <c r="K67" s="21">
        <f t="shared" si="16"/>
        <v>122.4</v>
      </c>
      <c r="L67" s="21">
        <f t="shared" si="13"/>
        <v>88.2</v>
      </c>
      <c r="M67" s="21">
        <f t="shared" si="10"/>
        <v>501.47999999999996</v>
      </c>
      <c r="N67" s="21">
        <f t="shared" si="4"/>
        <v>551.62800000000004</v>
      </c>
      <c r="O67" s="11">
        <v>100</v>
      </c>
      <c r="P67" s="22">
        <f t="shared" si="6"/>
        <v>651.62800000000004</v>
      </c>
      <c r="Q67" s="31"/>
      <c r="R67" s="1"/>
      <c r="S67" s="1"/>
      <c r="T67" s="1"/>
      <c r="U67" s="2"/>
      <c r="V67" s="3"/>
    </row>
    <row r="68" spans="1:22">
      <c r="A68" s="18">
        <v>4</v>
      </c>
      <c r="B68" s="19" t="s">
        <v>50</v>
      </c>
      <c r="C68" s="20" t="s">
        <v>23</v>
      </c>
      <c r="D68" s="20" t="s">
        <v>19</v>
      </c>
      <c r="E68" s="20" t="s">
        <v>19</v>
      </c>
      <c r="F68" s="20" t="s">
        <v>22</v>
      </c>
      <c r="G68" s="20" t="s">
        <v>18</v>
      </c>
      <c r="H68" s="21">
        <f t="shared" si="12"/>
        <v>144</v>
      </c>
      <c r="I68" s="21">
        <f t="shared" si="14"/>
        <v>85.679999999999993</v>
      </c>
      <c r="J68" s="21">
        <f t="shared" si="15"/>
        <v>61.2</v>
      </c>
      <c r="K68" s="21">
        <f t="shared" si="16"/>
        <v>141.12</v>
      </c>
      <c r="L68" s="21">
        <f t="shared" si="13"/>
        <v>88.2</v>
      </c>
      <c r="M68" s="21">
        <f t="shared" si="10"/>
        <v>520.20000000000005</v>
      </c>
      <c r="N68" s="21">
        <f t="shared" si="4"/>
        <v>572.22000000000014</v>
      </c>
      <c r="O68" s="11">
        <v>100</v>
      </c>
      <c r="P68" s="22">
        <f t="shared" si="6"/>
        <v>672.22000000000014</v>
      </c>
      <c r="Q68" s="31"/>
      <c r="R68" s="1"/>
      <c r="S68" s="1"/>
      <c r="T68" s="1"/>
      <c r="U68" s="2"/>
      <c r="V68" s="3"/>
    </row>
    <row r="69" spans="1:22">
      <c r="A69" s="18">
        <v>7</v>
      </c>
      <c r="B69" s="19" t="s">
        <v>50</v>
      </c>
      <c r="C69" s="20" t="s">
        <v>23</v>
      </c>
      <c r="D69" s="20" t="s">
        <v>29</v>
      </c>
      <c r="E69" s="20" t="s">
        <v>22</v>
      </c>
      <c r="F69" s="20" t="s">
        <v>29</v>
      </c>
      <c r="G69" s="20" t="s">
        <v>18</v>
      </c>
      <c r="H69" s="21">
        <f t="shared" ref="H69:H100" si="18">VLOOKUP(C69,$R$4:$U$64,4,FALSE)</f>
        <v>144</v>
      </c>
      <c r="I69" s="21">
        <f t="shared" si="14"/>
        <v>143.63999999999999</v>
      </c>
      <c r="J69" s="21">
        <f t="shared" si="15"/>
        <v>88.2</v>
      </c>
      <c r="K69" s="21">
        <f t="shared" si="16"/>
        <v>164.16</v>
      </c>
      <c r="L69" s="21">
        <f t="shared" ref="L69:L100" si="19">VLOOKUP(G69,$R$4:$U$64,4,FALSE)</f>
        <v>88.2</v>
      </c>
      <c r="M69" s="21">
        <f t="shared" si="10"/>
        <v>628.20000000000005</v>
      </c>
      <c r="N69" s="21">
        <f t="shared" ref="N69:N106" si="20">SUM(H69:L69)*1.1</f>
        <v>691.0200000000001</v>
      </c>
      <c r="O69" s="11">
        <v>100</v>
      </c>
      <c r="P69" s="22">
        <f t="shared" si="6"/>
        <v>791.0200000000001</v>
      </c>
      <c r="Q69" s="31"/>
      <c r="R69" s="1"/>
      <c r="S69" s="1"/>
      <c r="T69" s="1"/>
      <c r="U69" s="2"/>
      <c r="V69" s="3"/>
    </row>
    <row r="70" spans="1:22">
      <c r="A70" s="18">
        <v>8</v>
      </c>
      <c r="B70" s="19" t="s">
        <v>50</v>
      </c>
      <c r="C70" s="20" t="s">
        <v>26</v>
      </c>
      <c r="D70" s="20" t="s">
        <v>22</v>
      </c>
      <c r="E70" s="20" t="s">
        <v>19</v>
      </c>
      <c r="F70" s="20" t="s">
        <v>22</v>
      </c>
      <c r="G70" s="20" t="s">
        <v>18</v>
      </c>
      <c r="H70" s="21">
        <f t="shared" si="18"/>
        <v>106.2</v>
      </c>
      <c r="I70" s="21">
        <f t="shared" si="14"/>
        <v>123.47999999999999</v>
      </c>
      <c r="J70" s="21">
        <f t="shared" si="15"/>
        <v>61.2</v>
      </c>
      <c r="K70" s="21">
        <f t="shared" si="16"/>
        <v>141.12</v>
      </c>
      <c r="L70" s="21">
        <f t="shared" si="19"/>
        <v>88.2</v>
      </c>
      <c r="M70" s="21">
        <f t="shared" si="10"/>
        <v>520.20000000000005</v>
      </c>
      <c r="N70" s="21">
        <f t="shared" si="20"/>
        <v>572.22000000000014</v>
      </c>
      <c r="O70" s="11">
        <v>100</v>
      </c>
      <c r="P70" s="22">
        <f t="shared" ref="P70:P122" si="21">O70+N70</f>
        <v>672.22000000000014</v>
      </c>
      <c r="Q70" s="31"/>
      <c r="R70" s="1"/>
      <c r="S70" s="1"/>
      <c r="T70" s="1"/>
      <c r="U70" s="2"/>
      <c r="V70" s="3"/>
    </row>
    <row r="71" spans="1:22">
      <c r="A71" s="18">
        <v>1</v>
      </c>
      <c r="B71" s="19" t="s">
        <v>53</v>
      </c>
      <c r="C71" s="20" t="s">
        <v>23</v>
      </c>
      <c r="D71" s="20" t="s">
        <v>22</v>
      </c>
      <c r="E71" s="20" t="s">
        <v>22</v>
      </c>
      <c r="F71" s="20" t="s">
        <v>19</v>
      </c>
      <c r="G71" s="20" t="s">
        <v>54</v>
      </c>
      <c r="H71" s="21">
        <f t="shared" si="18"/>
        <v>144</v>
      </c>
      <c r="I71" s="21">
        <f t="shared" si="14"/>
        <v>123.47999999999999</v>
      </c>
      <c r="J71" s="21">
        <f t="shared" si="15"/>
        <v>88.2</v>
      </c>
      <c r="K71" s="21">
        <f t="shared" ref="K71:K106" si="22">VLOOKUP(F71,$R$4:$U$64,4,FALSE)*1.4</f>
        <v>85.679999999999993</v>
      </c>
      <c r="L71" s="21">
        <f t="shared" si="19"/>
        <v>61.2</v>
      </c>
      <c r="M71" s="21">
        <f t="shared" ref="M71:M111" si="23">SUM(H71:L71)</f>
        <v>502.56</v>
      </c>
      <c r="N71" s="21">
        <f t="shared" si="20"/>
        <v>552.81600000000003</v>
      </c>
      <c r="O71" s="11">
        <v>100</v>
      </c>
      <c r="P71" s="22">
        <f t="shared" si="21"/>
        <v>652.81600000000003</v>
      </c>
      <c r="Q71" s="31"/>
      <c r="R71" s="1"/>
      <c r="S71" s="1"/>
      <c r="T71" s="1"/>
      <c r="U71" s="2"/>
      <c r="V71" s="3"/>
    </row>
    <row r="72" spans="1:22">
      <c r="A72" s="18">
        <v>2</v>
      </c>
      <c r="B72" s="19" t="s">
        <v>53</v>
      </c>
      <c r="C72" s="20" t="s">
        <v>21</v>
      </c>
      <c r="D72" s="20" t="s">
        <v>19</v>
      </c>
      <c r="E72" s="20" t="s">
        <v>19</v>
      </c>
      <c r="F72" s="20" t="s">
        <v>19</v>
      </c>
      <c r="G72" s="20" t="s">
        <v>44</v>
      </c>
      <c r="H72" s="21">
        <f t="shared" si="18"/>
        <v>106.2</v>
      </c>
      <c r="I72" s="21">
        <f t="shared" si="14"/>
        <v>85.679999999999993</v>
      </c>
      <c r="J72" s="21">
        <f t="shared" si="15"/>
        <v>61.2</v>
      </c>
      <c r="K72" s="21">
        <f t="shared" si="22"/>
        <v>85.679999999999993</v>
      </c>
      <c r="L72" s="21">
        <f t="shared" si="19"/>
        <v>88.2</v>
      </c>
      <c r="M72" s="21">
        <f t="shared" si="23"/>
        <v>426.96</v>
      </c>
      <c r="N72" s="21">
        <f t="shared" si="20"/>
        <v>469.65600000000001</v>
      </c>
      <c r="O72" s="11">
        <v>100</v>
      </c>
      <c r="P72" s="22">
        <f t="shared" si="21"/>
        <v>569.65599999999995</v>
      </c>
      <c r="Q72" s="31"/>
      <c r="R72" s="1"/>
      <c r="S72" s="1"/>
      <c r="T72" s="1"/>
      <c r="U72" s="2"/>
      <c r="V72" s="3"/>
    </row>
    <row r="73" spans="1:22">
      <c r="A73" s="18">
        <v>3</v>
      </c>
      <c r="B73" s="19" t="s">
        <v>53</v>
      </c>
      <c r="C73" s="20" t="s">
        <v>21</v>
      </c>
      <c r="D73" s="20" t="s">
        <v>29</v>
      </c>
      <c r="E73" s="20" t="s">
        <v>22</v>
      </c>
      <c r="F73" s="20" t="s">
        <v>29</v>
      </c>
      <c r="G73" s="20" t="s">
        <v>18</v>
      </c>
      <c r="H73" s="21">
        <f t="shared" si="18"/>
        <v>106.2</v>
      </c>
      <c r="I73" s="21">
        <f t="shared" si="14"/>
        <v>143.63999999999999</v>
      </c>
      <c r="J73" s="21">
        <f t="shared" si="15"/>
        <v>88.2</v>
      </c>
      <c r="K73" s="21">
        <f t="shared" si="22"/>
        <v>143.63999999999999</v>
      </c>
      <c r="L73" s="21">
        <f t="shared" si="19"/>
        <v>88.2</v>
      </c>
      <c r="M73" s="21">
        <f t="shared" si="23"/>
        <v>569.88</v>
      </c>
      <c r="N73" s="21">
        <f t="shared" si="20"/>
        <v>626.86800000000005</v>
      </c>
      <c r="O73" s="11">
        <v>100</v>
      </c>
      <c r="P73" s="22">
        <f t="shared" si="21"/>
        <v>726.86800000000005</v>
      </c>
      <c r="Q73" s="31"/>
      <c r="R73" s="1"/>
      <c r="S73" s="1"/>
      <c r="T73" s="1"/>
      <c r="U73" s="2"/>
      <c r="V73" s="3"/>
    </row>
    <row r="74" spans="1:22">
      <c r="A74" s="18">
        <v>4</v>
      </c>
      <c r="B74" s="19" t="s">
        <v>53</v>
      </c>
      <c r="C74" s="20" t="s">
        <v>21</v>
      </c>
      <c r="D74" s="20" t="s">
        <v>22</v>
      </c>
      <c r="E74" s="20" t="s">
        <v>19</v>
      </c>
      <c r="F74" s="20" t="s">
        <v>22</v>
      </c>
      <c r="G74" s="20" t="s">
        <v>18</v>
      </c>
      <c r="H74" s="21">
        <f t="shared" si="18"/>
        <v>106.2</v>
      </c>
      <c r="I74" s="21">
        <f t="shared" si="14"/>
        <v>123.47999999999999</v>
      </c>
      <c r="J74" s="21">
        <f t="shared" si="15"/>
        <v>61.2</v>
      </c>
      <c r="K74" s="21">
        <f t="shared" si="22"/>
        <v>123.47999999999999</v>
      </c>
      <c r="L74" s="21">
        <f t="shared" si="19"/>
        <v>88.2</v>
      </c>
      <c r="M74" s="21">
        <f t="shared" si="23"/>
        <v>502.56</v>
      </c>
      <c r="N74" s="21">
        <f t="shared" si="20"/>
        <v>552.81600000000003</v>
      </c>
      <c r="O74" s="11">
        <v>100</v>
      </c>
      <c r="P74" s="22">
        <f t="shared" si="21"/>
        <v>652.81600000000003</v>
      </c>
      <c r="Q74" s="31"/>
      <c r="R74" s="1"/>
      <c r="S74" s="1"/>
      <c r="T74" s="1"/>
      <c r="U74" s="2"/>
      <c r="V74" s="3"/>
    </row>
    <row r="75" spans="1:22">
      <c r="A75" s="18">
        <v>7</v>
      </c>
      <c r="B75" s="19" t="s">
        <v>53</v>
      </c>
      <c r="C75" s="20" t="s">
        <v>21</v>
      </c>
      <c r="D75" s="20" t="s">
        <v>19</v>
      </c>
      <c r="E75" s="20" t="s">
        <v>22</v>
      </c>
      <c r="F75" s="20" t="s">
        <v>19</v>
      </c>
      <c r="G75" s="20" t="s">
        <v>18</v>
      </c>
      <c r="H75" s="21">
        <f t="shared" si="18"/>
        <v>106.2</v>
      </c>
      <c r="I75" s="21">
        <f t="shared" si="14"/>
        <v>85.679999999999993</v>
      </c>
      <c r="J75" s="21">
        <f t="shared" si="15"/>
        <v>88.2</v>
      </c>
      <c r="K75" s="21">
        <f t="shared" si="22"/>
        <v>85.679999999999993</v>
      </c>
      <c r="L75" s="21">
        <f t="shared" si="19"/>
        <v>88.2</v>
      </c>
      <c r="M75" s="21">
        <f t="shared" si="23"/>
        <v>453.96</v>
      </c>
      <c r="N75" s="21">
        <f t="shared" si="20"/>
        <v>499.35599999999999</v>
      </c>
      <c r="O75" s="11">
        <v>100</v>
      </c>
      <c r="P75" s="22">
        <f t="shared" si="21"/>
        <v>599.35599999999999</v>
      </c>
      <c r="Q75" s="31"/>
      <c r="R75" s="1"/>
      <c r="S75" s="1"/>
      <c r="T75" s="1"/>
      <c r="U75" s="2"/>
      <c r="V75" s="3"/>
    </row>
    <row r="76" spans="1:22">
      <c r="A76" s="18">
        <v>8</v>
      </c>
      <c r="B76" s="19" t="s">
        <v>53</v>
      </c>
      <c r="C76" s="20" t="s">
        <v>21</v>
      </c>
      <c r="D76" s="20" t="s">
        <v>22</v>
      </c>
      <c r="E76" s="20" t="s">
        <v>22</v>
      </c>
      <c r="F76" s="20" t="s">
        <v>22</v>
      </c>
      <c r="G76" s="20" t="s">
        <v>18</v>
      </c>
      <c r="H76" s="21">
        <f t="shared" si="18"/>
        <v>106.2</v>
      </c>
      <c r="I76" s="21">
        <f t="shared" si="14"/>
        <v>123.47999999999999</v>
      </c>
      <c r="J76" s="21">
        <f t="shared" si="15"/>
        <v>88.2</v>
      </c>
      <c r="K76" s="21">
        <f t="shared" si="22"/>
        <v>123.47999999999999</v>
      </c>
      <c r="L76" s="21">
        <f t="shared" si="19"/>
        <v>88.2</v>
      </c>
      <c r="M76" s="21">
        <f t="shared" si="23"/>
        <v>529.56000000000006</v>
      </c>
      <c r="N76" s="21">
        <f t="shared" si="20"/>
        <v>582.51600000000008</v>
      </c>
      <c r="O76" s="11">
        <v>100</v>
      </c>
      <c r="P76" s="22">
        <f t="shared" si="21"/>
        <v>682.51600000000008</v>
      </c>
      <c r="Q76" s="31"/>
      <c r="R76" s="1"/>
      <c r="S76" s="1"/>
      <c r="T76" s="1"/>
      <c r="U76" s="2"/>
      <c r="V76" s="3"/>
    </row>
    <row r="77" spans="1:22">
      <c r="A77" s="18">
        <v>1</v>
      </c>
      <c r="B77" s="19" t="s">
        <v>53</v>
      </c>
      <c r="C77" s="20" t="s">
        <v>30</v>
      </c>
      <c r="D77" s="20" t="s">
        <v>29</v>
      </c>
      <c r="E77" s="20" t="s">
        <v>22</v>
      </c>
      <c r="F77" s="20" t="s">
        <v>29</v>
      </c>
      <c r="G77" s="20" t="s">
        <v>18</v>
      </c>
      <c r="H77" s="21">
        <f t="shared" si="18"/>
        <v>134.75</v>
      </c>
      <c r="I77" s="21">
        <f t="shared" si="14"/>
        <v>143.63999999999999</v>
      </c>
      <c r="J77" s="21">
        <f t="shared" si="15"/>
        <v>88.2</v>
      </c>
      <c r="K77" s="21">
        <f t="shared" si="22"/>
        <v>143.63999999999999</v>
      </c>
      <c r="L77" s="21">
        <f t="shared" si="19"/>
        <v>88.2</v>
      </c>
      <c r="M77" s="21">
        <f t="shared" si="23"/>
        <v>598.42999999999995</v>
      </c>
      <c r="N77" s="21">
        <f t="shared" si="20"/>
        <v>658.27300000000002</v>
      </c>
      <c r="O77" s="11">
        <v>100</v>
      </c>
      <c r="P77" s="22">
        <f t="shared" si="21"/>
        <v>758.27300000000002</v>
      </c>
      <c r="Q77" s="31"/>
      <c r="R77" s="1"/>
      <c r="S77" s="1"/>
      <c r="T77" s="1"/>
      <c r="U77" s="2"/>
      <c r="V77" s="3"/>
    </row>
    <row r="78" spans="1:22">
      <c r="A78" s="18">
        <v>2</v>
      </c>
      <c r="B78" s="19" t="s">
        <v>53</v>
      </c>
      <c r="C78" s="20" t="s">
        <v>30</v>
      </c>
      <c r="D78" s="20" t="s">
        <v>19</v>
      </c>
      <c r="E78" s="20" t="s">
        <v>19</v>
      </c>
      <c r="F78" s="20" t="s">
        <v>19</v>
      </c>
      <c r="G78" s="20" t="s">
        <v>18</v>
      </c>
      <c r="H78" s="21">
        <f t="shared" si="18"/>
        <v>134.75</v>
      </c>
      <c r="I78" s="21">
        <f t="shared" ref="I78:I109" si="24">VLOOKUP(D78,$R$4:$U$64,4,FALSE)*1.4</f>
        <v>85.679999999999993</v>
      </c>
      <c r="J78" s="21">
        <f t="shared" si="15"/>
        <v>61.2</v>
      </c>
      <c r="K78" s="21">
        <f t="shared" si="22"/>
        <v>85.679999999999993</v>
      </c>
      <c r="L78" s="21">
        <f t="shared" si="19"/>
        <v>88.2</v>
      </c>
      <c r="M78" s="21">
        <f t="shared" si="23"/>
        <v>455.51</v>
      </c>
      <c r="N78" s="21">
        <f t="shared" si="20"/>
        <v>501.06100000000004</v>
      </c>
      <c r="O78" s="11">
        <v>100</v>
      </c>
      <c r="P78" s="22">
        <f t="shared" si="21"/>
        <v>601.06100000000004</v>
      </c>
      <c r="Q78" s="31"/>
      <c r="R78" s="1"/>
      <c r="S78" s="1"/>
      <c r="T78" s="1"/>
      <c r="U78" s="2"/>
      <c r="V78" s="44"/>
    </row>
    <row r="79" spans="1:22">
      <c r="A79" s="18">
        <v>3</v>
      </c>
      <c r="B79" s="19" t="s">
        <v>53</v>
      </c>
      <c r="C79" s="20" t="s">
        <v>30</v>
      </c>
      <c r="D79" s="20" t="s">
        <v>19</v>
      </c>
      <c r="E79" s="20" t="s">
        <v>19</v>
      </c>
      <c r="F79" s="20" t="s">
        <v>22</v>
      </c>
      <c r="G79" s="20" t="s">
        <v>18</v>
      </c>
      <c r="H79" s="21">
        <f t="shared" si="18"/>
        <v>134.75</v>
      </c>
      <c r="I79" s="21">
        <f t="shared" si="24"/>
        <v>85.679999999999993</v>
      </c>
      <c r="J79" s="21">
        <f t="shared" si="15"/>
        <v>61.2</v>
      </c>
      <c r="K79" s="21">
        <f t="shared" si="22"/>
        <v>123.47999999999999</v>
      </c>
      <c r="L79" s="21">
        <f t="shared" si="19"/>
        <v>88.2</v>
      </c>
      <c r="M79" s="21">
        <f t="shared" si="23"/>
        <v>493.31</v>
      </c>
      <c r="N79" s="21">
        <f t="shared" si="20"/>
        <v>542.64100000000008</v>
      </c>
      <c r="O79" s="11">
        <v>100</v>
      </c>
      <c r="P79" s="22">
        <f t="shared" si="21"/>
        <v>642.64100000000008</v>
      </c>
      <c r="Q79" s="31"/>
      <c r="R79" s="1"/>
      <c r="S79" s="1"/>
      <c r="T79" s="1"/>
      <c r="U79" s="2"/>
      <c r="V79" s="44"/>
    </row>
    <row r="80" spans="1:22">
      <c r="A80" s="18">
        <v>4</v>
      </c>
      <c r="B80" s="19" t="s">
        <v>53</v>
      </c>
      <c r="C80" s="20" t="s">
        <v>18</v>
      </c>
      <c r="D80" s="20" t="s">
        <v>40</v>
      </c>
      <c r="E80" s="20" t="s">
        <v>22</v>
      </c>
      <c r="F80" s="20" t="s">
        <v>22</v>
      </c>
      <c r="G80" s="20" t="s">
        <v>46</v>
      </c>
      <c r="H80" s="21">
        <f t="shared" si="18"/>
        <v>88.2</v>
      </c>
      <c r="I80" s="21">
        <f t="shared" si="24"/>
        <v>171.5</v>
      </c>
      <c r="J80" s="21">
        <f t="shared" si="15"/>
        <v>88.2</v>
      </c>
      <c r="K80" s="21">
        <f t="shared" si="22"/>
        <v>123.47999999999999</v>
      </c>
      <c r="L80" s="21">
        <f t="shared" si="19"/>
        <v>138.6</v>
      </c>
      <c r="M80" s="21">
        <f t="shared" si="23"/>
        <v>609.98</v>
      </c>
      <c r="N80" s="21">
        <f t="shared" si="20"/>
        <v>670.97800000000007</v>
      </c>
      <c r="O80" s="11">
        <v>100</v>
      </c>
      <c r="P80" s="22">
        <f t="shared" si="21"/>
        <v>770.97800000000007</v>
      </c>
      <c r="Q80" s="31"/>
      <c r="R80" s="1"/>
      <c r="S80" s="1"/>
      <c r="T80" s="1"/>
      <c r="U80" s="2"/>
      <c r="V80" s="44"/>
    </row>
    <row r="81" spans="1:22">
      <c r="A81" s="18">
        <v>7</v>
      </c>
      <c r="B81" s="19" t="s">
        <v>53</v>
      </c>
      <c r="C81" s="20" t="s">
        <v>30</v>
      </c>
      <c r="D81" s="20" t="s">
        <v>19</v>
      </c>
      <c r="E81" s="20" t="s">
        <v>22</v>
      </c>
      <c r="F81" s="20" t="s">
        <v>19</v>
      </c>
      <c r="G81" s="20" t="s">
        <v>18</v>
      </c>
      <c r="H81" s="21">
        <f t="shared" si="18"/>
        <v>134.75</v>
      </c>
      <c r="I81" s="21">
        <f t="shared" si="24"/>
        <v>85.679999999999993</v>
      </c>
      <c r="J81" s="21">
        <f t="shared" si="15"/>
        <v>88.2</v>
      </c>
      <c r="K81" s="21">
        <f t="shared" si="22"/>
        <v>85.679999999999993</v>
      </c>
      <c r="L81" s="21">
        <f t="shared" si="19"/>
        <v>88.2</v>
      </c>
      <c r="M81" s="21">
        <f t="shared" si="23"/>
        <v>482.51</v>
      </c>
      <c r="N81" s="21">
        <f t="shared" si="20"/>
        <v>530.76100000000008</v>
      </c>
      <c r="O81" s="11">
        <v>100</v>
      </c>
      <c r="P81" s="22">
        <f t="shared" si="21"/>
        <v>630.76100000000008</v>
      </c>
      <c r="Q81" s="31"/>
      <c r="R81" s="1"/>
      <c r="S81" s="1"/>
      <c r="T81" s="1"/>
      <c r="U81" s="2"/>
      <c r="V81" s="44"/>
    </row>
    <row r="82" spans="1:22">
      <c r="A82" s="18">
        <v>8</v>
      </c>
      <c r="B82" s="19" t="s">
        <v>53</v>
      </c>
      <c r="C82" s="20" t="s">
        <v>30</v>
      </c>
      <c r="D82" s="20" t="s">
        <v>29</v>
      </c>
      <c r="E82" s="20" t="s">
        <v>49</v>
      </c>
      <c r="F82" s="20" t="s">
        <v>29</v>
      </c>
      <c r="G82" s="20" t="s">
        <v>42</v>
      </c>
      <c r="H82" s="21">
        <f t="shared" si="18"/>
        <v>134.75</v>
      </c>
      <c r="I82" s="21">
        <f t="shared" si="24"/>
        <v>143.63999999999999</v>
      </c>
      <c r="J82" s="21">
        <f t="shared" ref="J82:J106" si="25">VLOOKUP(E82,$R$4:$U$64,4,FALSE)*1</f>
        <v>88.2</v>
      </c>
      <c r="K82" s="21">
        <f t="shared" si="22"/>
        <v>143.63999999999999</v>
      </c>
      <c r="L82" s="21">
        <f t="shared" si="19"/>
        <v>134.75</v>
      </c>
      <c r="M82" s="21">
        <f t="shared" si="23"/>
        <v>644.98</v>
      </c>
      <c r="N82" s="21">
        <f t="shared" si="20"/>
        <v>709.47800000000007</v>
      </c>
      <c r="O82" s="11">
        <v>100</v>
      </c>
      <c r="P82" s="22">
        <f t="shared" si="21"/>
        <v>809.47800000000007</v>
      </c>
      <c r="Q82" s="31"/>
      <c r="R82" s="1"/>
      <c r="S82" s="1"/>
      <c r="T82" s="1"/>
      <c r="U82" s="2"/>
      <c r="V82" s="44"/>
    </row>
    <row r="83" spans="1:22">
      <c r="A83" s="18">
        <v>1</v>
      </c>
      <c r="B83" s="19" t="s">
        <v>53</v>
      </c>
      <c r="C83" s="20" t="s">
        <v>23</v>
      </c>
      <c r="D83" s="20" t="s">
        <v>22</v>
      </c>
      <c r="E83" s="20" t="s">
        <v>19</v>
      </c>
      <c r="F83" s="20" t="s">
        <v>22</v>
      </c>
      <c r="G83" s="20" t="s">
        <v>20</v>
      </c>
      <c r="H83" s="21">
        <f t="shared" si="18"/>
        <v>144</v>
      </c>
      <c r="I83" s="21">
        <f t="shared" si="24"/>
        <v>123.47999999999999</v>
      </c>
      <c r="J83" s="21">
        <f t="shared" si="25"/>
        <v>61.2</v>
      </c>
      <c r="K83" s="21">
        <f t="shared" si="22"/>
        <v>123.47999999999999</v>
      </c>
      <c r="L83" s="21">
        <f t="shared" si="19"/>
        <v>61.2</v>
      </c>
      <c r="M83" s="21">
        <f t="shared" si="23"/>
        <v>513.36</v>
      </c>
      <c r="N83" s="21">
        <f t="shared" si="20"/>
        <v>564.69600000000003</v>
      </c>
      <c r="O83" s="11">
        <v>100</v>
      </c>
      <c r="P83" s="22">
        <f t="shared" si="21"/>
        <v>664.69600000000003</v>
      </c>
      <c r="Q83" s="31"/>
      <c r="R83" s="1"/>
      <c r="S83" s="1"/>
      <c r="T83" s="1"/>
      <c r="U83" s="2"/>
      <c r="V83" s="44"/>
    </row>
    <row r="84" spans="1:22">
      <c r="A84" s="18">
        <v>2</v>
      </c>
      <c r="B84" s="19" t="s">
        <v>53</v>
      </c>
      <c r="C84" s="20" t="s">
        <v>23</v>
      </c>
      <c r="D84" s="20" t="s">
        <v>55</v>
      </c>
      <c r="E84" s="20" t="s">
        <v>49</v>
      </c>
      <c r="F84" s="20" t="s">
        <v>55</v>
      </c>
      <c r="G84" s="20" t="s">
        <v>18</v>
      </c>
      <c r="H84" s="21">
        <f t="shared" si="18"/>
        <v>144</v>
      </c>
      <c r="I84" s="21">
        <f t="shared" si="24"/>
        <v>143.63999999999999</v>
      </c>
      <c r="J84" s="21">
        <f t="shared" si="25"/>
        <v>88.2</v>
      </c>
      <c r="K84" s="21">
        <f t="shared" si="22"/>
        <v>143.63999999999999</v>
      </c>
      <c r="L84" s="21">
        <f t="shared" si="19"/>
        <v>88.2</v>
      </c>
      <c r="M84" s="21">
        <f t="shared" si="23"/>
        <v>607.68000000000006</v>
      </c>
      <c r="N84" s="21">
        <f t="shared" si="20"/>
        <v>668.44800000000009</v>
      </c>
      <c r="O84" s="11">
        <v>100</v>
      </c>
      <c r="P84" s="22">
        <f t="shared" si="21"/>
        <v>768.44800000000009</v>
      </c>
      <c r="Q84" s="31"/>
      <c r="R84" s="1"/>
      <c r="S84" s="1"/>
      <c r="T84" s="1"/>
      <c r="U84" s="2"/>
      <c r="V84" s="3"/>
    </row>
    <row r="85" spans="1:22">
      <c r="A85" s="18">
        <v>3</v>
      </c>
      <c r="B85" s="19" t="s">
        <v>53</v>
      </c>
      <c r="C85" s="20" t="s">
        <v>23</v>
      </c>
      <c r="D85" s="20" t="s">
        <v>19</v>
      </c>
      <c r="E85" s="20" t="s">
        <v>19</v>
      </c>
      <c r="F85" s="20" t="s">
        <v>37</v>
      </c>
      <c r="G85" s="20" t="s">
        <v>18</v>
      </c>
      <c r="H85" s="21">
        <f t="shared" si="18"/>
        <v>144</v>
      </c>
      <c r="I85" s="21">
        <f t="shared" si="24"/>
        <v>85.679999999999993</v>
      </c>
      <c r="J85" s="21">
        <f t="shared" si="25"/>
        <v>61.2</v>
      </c>
      <c r="K85" s="21">
        <f t="shared" si="22"/>
        <v>107.1</v>
      </c>
      <c r="L85" s="21">
        <f t="shared" si="19"/>
        <v>88.2</v>
      </c>
      <c r="M85" s="21">
        <f t="shared" si="23"/>
        <v>486.18</v>
      </c>
      <c r="N85" s="21">
        <f t="shared" si="20"/>
        <v>534.798</v>
      </c>
      <c r="O85" s="11">
        <v>100</v>
      </c>
      <c r="P85" s="22">
        <f t="shared" si="21"/>
        <v>634.798</v>
      </c>
      <c r="Q85" s="31"/>
      <c r="R85" s="1"/>
      <c r="S85" s="1"/>
      <c r="T85" s="1"/>
      <c r="U85" s="2"/>
      <c r="V85" s="3"/>
    </row>
    <row r="86" spans="1:22">
      <c r="A86" s="18">
        <v>4</v>
      </c>
      <c r="B86" s="19" t="s">
        <v>53</v>
      </c>
      <c r="C86" s="20" t="s">
        <v>23</v>
      </c>
      <c r="D86" s="20" t="s">
        <v>22</v>
      </c>
      <c r="E86" s="20" t="s">
        <v>19</v>
      </c>
      <c r="F86" s="20" t="s">
        <v>19</v>
      </c>
      <c r="G86" s="20" t="s">
        <v>20</v>
      </c>
      <c r="H86" s="21">
        <f t="shared" si="18"/>
        <v>144</v>
      </c>
      <c r="I86" s="21">
        <f t="shared" si="24"/>
        <v>123.47999999999999</v>
      </c>
      <c r="J86" s="21">
        <f t="shared" si="25"/>
        <v>61.2</v>
      </c>
      <c r="K86" s="21">
        <f t="shared" si="22"/>
        <v>85.679999999999993</v>
      </c>
      <c r="L86" s="21">
        <f t="shared" si="19"/>
        <v>61.2</v>
      </c>
      <c r="M86" s="21">
        <f t="shared" si="23"/>
        <v>475.56</v>
      </c>
      <c r="N86" s="21">
        <f t="shared" si="20"/>
        <v>523.1160000000001</v>
      </c>
      <c r="O86" s="11">
        <v>100</v>
      </c>
      <c r="P86" s="22">
        <f t="shared" si="21"/>
        <v>623.1160000000001</v>
      </c>
      <c r="Q86" s="31"/>
      <c r="R86" s="1"/>
      <c r="S86" s="1"/>
      <c r="T86" s="1"/>
      <c r="U86" s="2"/>
      <c r="V86" s="3"/>
    </row>
    <row r="87" spans="1:22">
      <c r="A87" s="18">
        <v>7</v>
      </c>
      <c r="B87" s="19" t="s">
        <v>53</v>
      </c>
      <c r="C87" s="20" t="s">
        <v>23</v>
      </c>
      <c r="D87" s="20" t="s">
        <v>19</v>
      </c>
      <c r="E87" s="20" t="s">
        <v>22</v>
      </c>
      <c r="F87" s="20" t="s">
        <v>19</v>
      </c>
      <c r="G87" s="20" t="s">
        <v>18</v>
      </c>
      <c r="H87" s="21">
        <f t="shared" si="18"/>
        <v>144</v>
      </c>
      <c r="I87" s="21">
        <f t="shared" si="24"/>
        <v>85.679999999999993</v>
      </c>
      <c r="J87" s="21">
        <f t="shared" si="25"/>
        <v>88.2</v>
      </c>
      <c r="K87" s="21">
        <f t="shared" si="22"/>
        <v>85.679999999999993</v>
      </c>
      <c r="L87" s="21">
        <f t="shared" si="19"/>
        <v>88.2</v>
      </c>
      <c r="M87" s="21">
        <f t="shared" si="23"/>
        <v>491.76</v>
      </c>
      <c r="N87" s="21">
        <f t="shared" si="20"/>
        <v>540.93600000000004</v>
      </c>
      <c r="O87" s="11">
        <v>100</v>
      </c>
      <c r="P87" s="22">
        <f t="shared" si="21"/>
        <v>640.93600000000004</v>
      </c>
      <c r="Q87" s="31"/>
      <c r="R87" s="1"/>
      <c r="S87" s="1"/>
      <c r="T87" s="1"/>
      <c r="U87" s="2"/>
      <c r="V87" s="3"/>
    </row>
    <row r="88" spans="1:22" ht="18" thickBot="1">
      <c r="A88" s="18">
        <v>8</v>
      </c>
      <c r="B88" s="45" t="s">
        <v>53</v>
      </c>
      <c r="C88" s="46" t="s">
        <v>23</v>
      </c>
      <c r="D88" s="46" t="s">
        <v>24</v>
      </c>
      <c r="E88" s="46" t="s">
        <v>19</v>
      </c>
      <c r="F88" s="46" t="s">
        <v>24</v>
      </c>
      <c r="G88" s="46" t="s">
        <v>52</v>
      </c>
      <c r="H88" s="47">
        <f t="shared" si="18"/>
        <v>144</v>
      </c>
      <c r="I88" s="47">
        <f t="shared" si="24"/>
        <v>116.47999999999999</v>
      </c>
      <c r="J88" s="47">
        <f t="shared" si="25"/>
        <v>61.2</v>
      </c>
      <c r="K88" s="47">
        <f t="shared" si="22"/>
        <v>116.47999999999999</v>
      </c>
      <c r="L88" s="47">
        <f t="shared" si="19"/>
        <v>106.2</v>
      </c>
      <c r="M88" s="47">
        <f t="shared" si="23"/>
        <v>544.36</v>
      </c>
      <c r="N88" s="47">
        <f t="shared" si="20"/>
        <v>598.79600000000005</v>
      </c>
      <c r="O88" s="46">
        <v>100</v>
      </c>
      <c r="P88" s="49">
        <f t="shared" si="21"/>
        <v>698.79600000000005</v>
      </c>
      <c r="Q88" s="50"/>
      <c r="R88" s="1"/>
      <c r="S88" s="1"/>
      <c r="T88" s="1"/>
      <c r="U88" s="2"/>
      <c r="V88" s="3"/>
    </row>
    <row r="89" spans="1:22">
      <c r="A89" s="18">
        <v>1</v>
      </c>
      <c r="B89" s="19" t="s">
        <v>56</v>
      </c>
      <c r="C89" s="20" t="s">
        <v>57</v>
      </c>
      <c r="D89" s="20" t="s">
        <v>19</v>
      </c>
      <c r="E89" s="20" t="s">
        <v>19</v>
      </c>
      <c r="F89" s="20" t="s">
        <v>22</v>
      </c>
      <c r="G89" s="20" t="s">
        <v>18</v>
      </c>
      <c r="H89" s="21">
        <f t="shared" si="18"/>
        <v>195.8</v>
      </c>
      <c r="I89" s="21">
        <f t="shared" si="24"/>
        <v>85.679999999999993</v>
      </c>
      <c r="J89" s="21">
        <f t="shared" si="25"/>
        <v>61.2</v>
      </c>
      <c r="K89" s="21">
        <f t="shared" si="22"/>
        <v>123.47999999999999</v>
      </c>
      <c r="L89" s="21">
        <f t="shared" si="19"/>
        <v>88.2</v>
      </c>
      <c r="M89" s="21">
        <f t="shared" si="23"/>
        <v>554.36</v>
      </c>
      <c r="N89" s="21">
        <f t="shared" si="20"/>
        <v>609.79600000000005</v>
      </c>
      <c r="O89" s="11">
        <v>100</v>
      </c>
      <c r="P89" s="22">
        <f t="shared" si="21"/>
        <v>709.79600000000005</v>
      </c>
      <c r="Q89" s="31"/>
      <c r="R89" s="1"/>
      <c r="S89" s="1"/>
      <c r="T89" s="1"/>
      <c r="U89" s="2"/>
      <c r="V89" s="3"/>
    </row>
    <row r="90" spans="1:22">
      <c r="A90" s="18">
        <v>2</v>
      </c>
      <c r="B90" s="19" t="s">
        <v>58</v>
      </c>
      <c r="C90" s="20" t="s">
        <v>19</v>
      </c>
      <c r="D90" s="20" t="s">
        <v>19</v>
      </c>
      <c r="E90" s="20" t="s">
        <v>19</v>
      </c>
      <c r="F90" s="20" t="s">
        <v>29</v>
      </c>
      <c r="G90" s="20" t="s">
        <v>52</v>
      </c>
      <c r="H90" s="21">
        <f t="shared" si="18"/>
        <v>61.2</v>
      </c>
      <c r="I90" s="21">
        <f t="shared" si="24"/>
        <v>85.679999999999993</v>
      </c>
      <c r="J90" s="21">
        <f t="shared" si="25"/>
        <v>61.2</v>
      </c>
      <c r="K90" s="21">
        <f t="shared" si="22"/>
        <v>143.63999999999999</v>
      </c>
      <c r="L90" s="21">
        <f t="shared" si="19"/>
        <v>106.2</v>
      </c>
      <c r="M90" s="21">
        <f t="shared" si="23"/>
        <v>457.91999999999996</v>
      </c>
      <c r="N90" s="21">
        <f t="shared" si="20"/>
        <v>503.71199999999999</v>
      </c>
      <c r="O90" s="11">
        <v>100</v>
      </c>
      <c r="P90" s="22">
        <f t="shared" si="21"/>
        <v>603.71199999999999</v>
      </c>
      <c r="Q90" s="31"/>
      <c r="R90" s="1"/>
      <c r="S90" s="1"/>
      <c r="T90" s="1"/>
      <c r="U90" s="2"/>
      <c r="V90" s="3"/>
    </row>
    <row r="91" spans="1:22">
      <c r="A91" s="18">
        <v>3</v>
      </c>
      <c r="B91" s="19" t="s">
        <v>58</v>
      </c>
      <c r="C91" s="20" t="s">
        <v>25</v>
      </c>
      <c r="D91" s="20" t="s">
        <v>24</v>
      </c>
      <c r="E91" s="20" t="s">
        <v>24</v>
      </c>
      <c r="F91" s="20" t="s">
        <v>29</v>
      </c>
      <c r="G91" s="20" t="s">
        <v>21</v>
      </c>
      <c r="H91" s="21">
        <f t="shared" si="18"/>
        <v>83.2</v>
      </c>
      <c r="I91" s="21">
        <f t="shared" si="24"/>
        <v>116.47999999999999</v>
      </c>
      <c r="J91" s="21">
        <f t="shared" si="25"/>
        <v>83.2</v>
      </c>
      <c r="K91" s="21">
        <f t="shared" si="22"/>
        <v>143.63999999999999</v>
      </c>
      <c r="L91" s="21">
        <f t="shared" si="19"/>
        <v>106.2</v>
      </c>
      <c r="M91" s="21">
        <f t="shared" si="23"/>
        <v>532.72</v>
      </c>
      <c r="N91" s="21">
        <f t="shared" si="20"/>
        <v>585.99200000000008</v>
      </c>
      <c r="O91" s="11">
        <v>100</v>
      </c>
      <c r="P91" s="22">
        <f t="shared" si="21"/>
        <v>685.99200000000008</v>
      </c>
      <c r="Q91" s="31"/>
      <c r="R91" s="1"/>
      <c r="S91" s="1"/>
      <c r="T91" s="1"/>
      <c r="U91" s="2"/>
      <c r="V91" s="3"/>
    </row>
    <row r="92" spans="1:22">
      <c r="A92" s="18">
        <v>4</v>
      </c>
      <c r="B92" s="19" t="s">
        <v>58</v>
      </c>
      <c r="C92" s="20" t="s">
        <v>52</v>
      </c>
      <c r="D92" s="20" t="s">
        <v>59</v>
      </c>
      <c r="E92" s="20" t="s">
        <v>19</v>
      </c>
      <c r="F92" s="20" t="s">
        <v>19</v>
      </c>
      <c r="G92" s="20" t="s">
        <v>18</v>
      </c>
      <c r="H92" s="21">
        <f t="shared" si="18"/>
        <v>106.2</v>
      </c>
      <c r="I92" s="21">
        <f t="shared" si="24"/>
        <v>85.679999999999993</v>
      </c>
      <c r="J92" s="21">
        <f t="shared" si="25"/>
        <v>61.2</v>
      </c>
      <c r="K92" s="21">
        <f t="shared" si="22"/>
        <v>85.679999999999993</v>
      </c>
      <c r="L92" s="21">
        <f t="shared" si="19"/>
        <v>88.2</v>
      </c>
      <c r="M92" s="21">
        <f t="shared" si="23"/>
        <v>426.96</v>
      </c>
      <c r="N92" s="21">
        <f t="shared" si="20"/>
        <v>469.65600000000001</v>
      </c>
      <c r="O92" s="11">
        <v>100</v>
      </c>
      <c r="P92" s="22">
        <f t="shared" si="21"/>
        <v>569.65599999999995</v>
      </c>
      <c r="Q92" s="31"/>
      <c r="R92" s="1"/>
      <c r="S92" s="1"/>
      <c r="T92" s="1"/>
      <c r="U92" s="2"/>
      <c r="V92" s="3"/>
    </row>
    <row r="93" spans="1:22">
      <c r="A93" s="18">
        <v>7</v>
      </c>
      <c r="B93" s="19" t="s">
        <v>58</v>
      </c>
      <c r="C93" s="20" t="s">
        <v>18</v>
      </c>
      <c r="D93" s="20" t="s">
        <v>22</v>
      </c>
      <c r="E93" s="20" t="s">
        <v>22</v>
      </c>
      <c r="F93" s="20" t="s">
        <v>22</v>
      </c>
      <c r="G93" s="20" t="s">
        <v>18</v>
      </c>
      <c r="H93" s="21">
        <f t="shared" si="18"/>
        <v>88.2</v>
      </c>
      <c r="I93" s="21">
        <f t="shared" si="24"/>
        <v>123.47999999999999</v>
      </c>
      <c r="J93" s="21">
        <f t="shared" si="25"/>
        <v>88.2</v>
      </c>
      <c r="K93" s="21">
        <f t="shared" si="22"/>
        <v>123.47999999999999</v>
      </c>
      <c r="L93" s="21">
        <f t="shared" si="19"/>
        <v>88.2</v>
      </c>
      <c r="M93" s="21">
        <f t="shared" si="23"/>
        <v>511.56</v>
      </c>
      <c r="N93" s="21">
        <f t="shared" si="20"/>
        <v>562.71600000000001</v>
      </c>
      <c r="O93" s="11">
        <v>100</v>
      </c>
      <c r="P93" s="22">
        <f t="shared" si="21"/>
        <v>662.71600000000001</v>
      </c>
      <c r="Q93" s="31"/>
      <c r="R93" s="1"/>
      <c r="S93" s="1"/>
      <c r="T93" s="1"/>
      <c r="U93" s="2"/>
      <c r="V93" s="3"/>
    </row>
    <row r="94" spans="1:22">
      <c r="A94" s="18">
        <v>8</v>
      </c>
      <c r="B94" s="19" t="s">
        <v>58</v>
      </c>
      <c r="C94" s="20" t="s">
        <v>21</v>
      </c>
      <c r="D94" s="20" t="s">
        <v>49</v>
      </c>
      <c r="E94" s="20" t="s">
        <v>49</v>
      </c>
      <c r="F94" s="20" t="s">
        <v>49</v>
      </c>
      <c r="G94" s="20" t="s">
        <v>18</v>
      </c>
      <c r="H94" s="21">
        <f t="shared" si="18"/>
        <v>106.2</v>
      </c>
      <c r="I94" s="21">
        <f t="shared" si="24"/>
        <v>123.47999999999999</v>
      </c>
      <c r="J94" s="21">
        <f t="shared" si="25"/>
        <v>88.2</v>
      </c>
      <c r="K94" s="21">
        <f t="shared" si="22"/>
        <v>123.47999999999999</v>
      </c>
      <c r="L94" s="21">
        <f t="shared" si="19"/>
        <v>88.2</v>
      </c>
      <c r="M94" s="21">
        <f t="shared" si="23"/>
        <v>529.56000000000006</v>
      </c>
      <c r="N94" s="21">
        <f t="shared" si="20"/>
        <v>582.51600000000008</v>
      </c>
      <c r="O94" s="11">
        <v>100</v>
      </c>
      <c r="P94" s="22">
        <f t="shared" si="21"/>
        <v>682.51600000000008</v>
      </c>
      <c r="Q94" s="31"/>
      <c r="R94" s="1"/>
      <c r="S94" s="1"/>
      <c r="T94" s="1"/>
      <c r="U94" s="2"/>
      <c r="V94" s="3"/>
    </row>
    <row r="95" spans="1:22">
      <c r="A95" s="18">
        <v>1</v>
      </c>
      <c r="B95" s="19" t="s">
        <v>58</v>
      </c>
      <c r="C95" s="20" t="s">
        <v>19</v>
      </c>
      <c r="D95" s="20" t="s">
        <v>22</v>
      </c>
      <c r="E95" s="20" t="s">
        <v>19</v>
      </c>
      <c r="F95" s="20" t="s">
        <v>29</v>
      </c>
      <c r="G95" s="20" t="s">
        <v>60</v>
      </c>
      <c r="H95" s="21">
        <f t="shared" si="18"/>
        <v>61.2</v>
      </c>
      <c r="I95" s="21">
        <f t="shared" si="24"/>
        <v>123.47999999999999</v>
      </c>
      <c r="J95" s="21">
        <f t="shared" si="25"/>
        <v>61.2</v>
      </c>
      <c r="K95" s="21">
        <f t="shared" si="22"/>
        <v>143.63999999999999</v>
      </c>
      <c r="L95" s="21">
        <f t="shared" si="19"/>
        <v>173.25</v>
      </c>
      <c r="M95" s="21">
        <f t="shared" si="23"/>
        <v>562.77</v>
      </c>
      <c r="N95" s="21">
        <f t="shared" si="20"/>
        <v>619.04700000000003</v>
      </c>
      <c r="O95" s="11">
        <v>100</v>
      </c>
      <c r="P95" s="22">
        <f t="shared" si="21"/>
        <v>719.04700000000003</v>
      </c>
      <c r="Q95" s="31"/>
      <c r="R95" s="1"/>
      <c r="S95" s="1"/>
      <c r="T95" s="1"/>
      <c r="U95" s="2"/>
      <c r="V95" s="3"/>
    </row>
    <row r="96" spans="1:22">
      <c r="A96" s="18">
        <v>2</v>
      </c>
      <c r="B96" s="19" t="s">
        <v>58</v>
      </c>
      <c r="C96" s="20" t="s">
        <v>30</v>
      </c>
      <c r="D96" s="20" t="s">
        <v>19</v>
      </c>
      <c r="E96" s="20" t="s">
        <v>19</v>
      </c>
      <c r="F96" s="20" t="s">
        <v>22</v>
      </c>
      <c r="G96" s="20" t="s">
        <v>18</v>
      </c>
      <c r="H96" s="21">
        <f t="shared" si="18"/>
        <v>134.75</v>
      </c>
      <c r="I96" s="21">
        <f t="shared" si="24"/>
        <v>85.679999999999993</v>
      </c>
      <c r="J96" s="21">
        <f t="shared" si="25"/>
        <v>61.2</v>
      </c>
      <c r="K96" s="21">
        <f t="shared" si="22"/>
        <v>123.47999999999999</v>
      </c>
      <c r="L96" s="21">
        <f t="shared" si="19"/>
        <v>88.2</v>
      </c>
      <c r="M96" s="21">
        <f t="shared" si="23"/>
        <v>493.31</v>
      </c>
      <c r="N96" s="21">
        <f t="shared" si="20"/>
        <v>542.64100000000008</v>
      </c>
      <c r="O96" s="11">
        <v>100</v>
      </c>
      <c r="P96" s="22">
        <f t="shared" si="21"/>
        <v>642.64100000000008</v>
      </c>
      <c r="Q96" s="31"/>
      <c r="R96" s="1"/>
      <c r="S96" s="1"/>
      <c r="T96" s="1"/>
      <c r="U96" s="2"/>
      <c r="V96" s="44"/>
    </row>
    <row r="97" spans="1:22">
      <c r="A97" s="18">
        <v>3</v>
      </c>
      <c r="B97" s="19" t="s">
        <v>58</v>
      </c>
      <c r="C97" s="20" t="s">
        <v>30</v>
      </c>
      <c r="D97" s="20" t="s">
        <v>19</v>
      </c>
      <c r="E97" s="20" t="s">
        <v>19</v>
      </c>
      <c r="F97" s="20" t="s">
        <v>37</v>
      </c>
      <c r="G97" s="20" t="s">
        <v>18</v>
      </c>
      <c r="H97" s="21">
        <f t="shared" si="18"/>
        <v>134.75</v>
      </c>
      <c r="I97" s="21">
        <f t="shared" si="24"/>
        <v>85.679999999999993</v>
      </c>
      <c r="J97" s="21">
        <f t="shared" si="25"/>
        <v>61.2</v>
      </c>
      <c r="K97" s="21">
        <f t="shared" si="22"/>
        <v>107.1</v>
      </c>
      <c r="L97" s="21">
        <f t="shared" si="19"/>
        <v>88.2</v>
      </c>
      <c r="M97" s="21">
        <f t="shared" si="23"/>
        <v>476.93</v>
      </c>
      <c r="N97" s="21">
        <f t="shared" si="20"/>
        <v>524.62300000000005</v>
      </c>
      <c r="O97" s="11">
        <v>100</v>
      </c>
      <c r="P97" s="22">
        <f t="shared" si="21"/>
        <v>624.62300000000005</v>
      </c>
      <c r="Q97" s="31"/>
      <c r="R97" s="1"/>
      <c r="S97" s="1"/>
      <c r="T97" s="1"/>
      <c r="U97" s="2"/>
      <c r="V97" s="44"/>
    </row>
    <row r="98" spans="1:22">
      <c r="A98" s="18">
        <v>4</v>
      </c>
      <c r="B98" s="19" t="s">
        <v>58</v>
      </c>
      <c r="C98" s="20" t="s">
        <v>30</v>
      </c>
      <c r="D98" s="20" t="s">
        <v>19</v>
      </c>
      <c r="E98" s="20" t="s">
        <v>19</v>
      </c>
      <c r="F98" s="20" t="s">
        <v>19</v>
      </c>
      <c r="G98" s="20" t="s">
        <v>18</v>
      </c>
      <c r="H98" s="21">
        <f t="shared" si="18"/>
        <v>134.75</v>
      </c>
      <c r="I98" s="21">
        <f t="shared" si="24"/>
        <v>85.679999999999993</v>
      </c>
      <c r="J98" s="21">
        <f t="shared" si="25"/>
        <v>61.2</v>
      </c>
      <c r="K98" s="21">
        <f t="shared" si="22"/>
        <v>85.679999999999993</v>
      </c>
      <c r="L98" s="21">
        <f t="shared" si="19"/>
        <v>88.2</v>
      </c>
      <c r="M98" s="21">
        <f t="shared" si="23"/>
        <v>455.51</v>
      </c>
      <c r="N98" s="21">
        <f t="shared" si="20"/>
        <v>501.06100000000004</v>
      </c>
      <c r="O98" s="11">
        <v>100</v>
      </c>
      <c r="P98" s="22">
        <f t="shared" si="21"/>
        <v>601.06100000000004</v>
      </c>
      <c r="Q98" s="31"/>
      <c r="R98" s="1"/>
      <c r="S98" s="1"/>
      <c r="T98" s="1"/>
      <c r="U98" s="2"/>
      <c r="V98" s="44"/>
    </row>
    <row r="99" spans="1:22">
      <c r="A99" s="18">
        <v>7</v>
      </c>
      <c r="B99" s="19" t="s">
        <v>58</v>
      </c>
      <c r="C99" s="20" t="s">
        <v>30</v>
      </c>
      <c r="D99" s="20" t="s">
        <v>19</v>
      </c>
      <c r="E99" s="20" t="s">
        <v>22</v>
      </c>
      <c r="F99" s="20" t="s">
        <v>19</v>
      </c>
      <c r="G99" s="20" t="s">
        <v>18</v>
      </c>
      <c r="H99" s="21">
        <f t="shared" si="18"/>
        <v>134.75</v>
      </c>
      <c r="I99" s="21">
        <f t="shared" si="24"/>
        <v>85.679999999999993</v>
      </c>
      <c r="J99" s="21">
        <f t="shared" si="25"/>
        <v>88.2</v>
      </c>
      <c r="K99" s="21">
        <f t="shared" si="22"/>
        <v>85.679999999999993</v>
      </c>
      <c r="L99" s="21">
        <f t="shared" si="19"/>
        <v>88.2</v>
      </c>
      <c r="M99" s="21">
        <f t="shared" si="23"/>
        <v>482.51</v>
      </c>
      <c r="N99" s="21">
        <f t="shared" si="20"/>
        <v>530.76100000000008</v>
      </c>
      <c r="O99" s="11">
        <v>100</v>
      </c>
      <c r="P99" s="22">
        <f t="shared" si="21"/>
        <v>630.76100000000008</v>
      </c>
      <c r="Q99" s="31"/>
      <c r="R99" s="1"/>
      <c r="S99" s="1"/>
      <c r="T99" s="1"/>
      <c r="U99" s="2"/>
      <c r="V99" s="44"/>
    </row>
    <row r="100" spans="1:22">
      <c r="A100" s="18">
        <v>8</v>
      </c>
      <c r="B100" s="19" t="s">
        <v>58</v>
      </c>
      <c r="C100" s="20" t="s">
        <v>30</v>
      </c>
      <c r="D100" s="20" t="s">
        <v>19</v>
      </c>
      <c r="E100" s="20" t="s">
        <v>19</v>
      </c>
      <c r="F100" s="20" t="s">
        <v>22</v>
      </c>
      <c r="G100" s="20" t="s">
        <v>18</v>
      </c>
      <c r="H100" s="21">
        <f t="shared" si="18"/>
        <v>134.75</v>
      </c>
      <c r="I100" s="21">
        <f t="shared" si="24"/>
        <v>85.679999999999993</v>
      </c>
      <c r="J100" s="21">
        <f t="shared" si="25"/>
        <v>61.2</v>
      </c>
      <c r="K100" s="21">
        <f t="shared" si="22"/>
        <v>123.47999999999999</v>
      </c>
      <c r="L100" s="21">
        <f t="shared" si="19"/>
        <v>88.2</v>
      </c>
      <c r="M100" s="21">
        <f t="shared" si="23"/>
        <v>493.31</v>
      </c>
      <c r="N100" s="21">
        <f t="shared" si="20"/>
        <v>542.64100000000008</v>
      </c>
      <c r="O100" s="11">
        <v>100</v>
      </c>
      <c r="P100" s="22">
        <f t="shared" si="21"/>
        <v>642.64100000000008</v>
      </c>
      <c r="Q100" s="31"/>
      <c r="R100" s="1"/>
      <c r="S100" s="1"/>
      <c r="T100" s="1"/>
      <c r="U100" s="2"/>
      <c r="V100" s="44"/>
    </row>
    <row r="101" spans="1:22">
      <c r="A101" s="18">
        <v>1</v>
      </c>
      <c r="B101" s="19" t="s">
        <v>58</v>
      </c>
      <c r="C101" s="20" t="s">
        <v>23</v>
      </c>
      <c r="D101" s="20" t="s">
        <v>19</v>
      </c>
      <c r="E101" s="20" t="s">
        <v>19</v>
      </c>
      <c r="F101" s="20" t="s">
        <v>49</v>
      </c>
      <c r="G101" s="20" t="s">
        <v>18</v>
      </c>
      <c r="H101" s="21">
        <f t="shared" ref="H101:H122" si="26">VLOOKUP(C101,$R$4:$U$64,4,FALSE)</f>
        <v>144</v>
      </c>
      <c r="I101" s="21">
        <f t="shared" si="24"/>
        <v>85.679999999999993</v>
      </c>
      <c r="J101" s="21">
        <f t="shared" si="25"/>
        <v>61.2</v>
      </c>
      <c r="K101" s="21">
        <f t="shared" si="22"/>
        <v>123.47999999999999</v>
      </c>
      <c r="L101" s="21">
        <f t="shared" ref="L101:L106" si="27">VLOOKUP(G101,$R$4:$U$64,4,FALSE)</f>
        <v>88.2</v>
      </c>
      <c r="M101" s="21">
        <f t="shared" si="23"/>
        <v>502.56</v>
      </c>
      <c r="N101" s="21">
        <f t="shared" si="20"/>
        <v>552.81600000000003</v>
      </c>
      <c r="O101" s="11">
        <v>100</v>
      </c>
      <c r="P101" s="22">
        <f t="shared" si="21"/>
        <v>652.81600000000003</v>
      </c>
      <c r="Q101" s="31"/>
      <c r="R101" s="1"/>
      <c r="S101" s="1"/>
      <c r="T101" s="1"/>
      <c r="U101" s="2"/>
      <c r="V101" s="44"/>
    </row>
    <row r="102" spans="1:22">
      <c r="A102" s="18">
        <v>2</v>
      </c>
      <c r="B102" s="19" t="s">
        <v>58</v>
      </c>
      <c r="C102" s="20" t="s">
        <v>23</v>
      </c>
      <c r="D102" s="20" t="s">
        <v>19</v>
      </c>
      <c r="E102" s="20" t="s">
        <v>19</v>
      </c>
      <c r="F102" s="20" t="s">
        <v>19</v>
      </c>
      <c r="G102" s="20" t="s">
        <v>38</v>
      </c>
      <c r="H102" s="21">
        <f t="shared" si="26"/>
        <v>144</v>
      </c>
      <c r="I102" s="21">
        <f t="shared" si="24"/>
        <v>85.679999999999993</v>
      </c>
      <c r="J102" s="21">
        <f t="shared" si="25"/>
        <v>61.2</v>
      </c>
      <c r="K102" s="21">
        <f t="shared" si="22"/>
        <v>85.679999999999993</v>
      </c>
      <c r="L102" s="21">
        <f t="shared" si="27"/>
        <v>76.5</v>
      </c>
      <c r="M102" s="21">
        <f t="shared" si="23"/>
        <v>453.06</v>
      </c>
      <c r="N102" s="21">
        <f t="shared" si="20"/>
        <v>498.36600000000004</v>
      </c>
      <c r="O102" s="11">
        <v>100</v>
      </c>
      <c r="P102" s="22">
        <f t="shared" si="21"/>
        <v>598.36599999999999</v>
      </c>
      <c r="Q102" s="31"/>
      <c r="R102" s="1"/>
      <c r="S102" s="1"/>
      <c r="T102" s="1"/>
      <c r="U102" s="2"/>
      <c r="V102" s="3"/>
    </row>
    <row r="103" spans="1:22">
      <c r="A103" s="18">
        <v>3</v>
      </c>
      <c r="B103" s="19" t="s">
        <v>58</v>
      </c>
      <c r="C103" s="20" t="s">
        <v>23</v>
      </c>
      <c r="D103" s="20" t="s">
        <v>19</v>
      </c>
      <c r="E103" s="20" t="s">
        <v>19</v>
      </c>
      <c r="F103" s="20" t="s">
        <v>37</v>
      </c>
      <c r="G103" s="20" t="s">
        <v>18</v>
      </c>
      <c r="H103" s="21">
        <f t="shared" si="26"/>
        <v>144</v>
      </c>
      <c r="I103" s="21">
        <f t="shared" si="24"/>
        <v>85.679999999999993</v>
      </c>
      <c r="J103" s="21">
        <f t="shared" si="25"/>
        <v>61.2</v>
      </c>
      <c r="K103" s="21">
        <f t="shared" si="22"/>
        <v>107.1</v>
      </c>
      <c r="L103" s="21">
        <f t="shared" si="27"/>
        <v>88.2</v>
      </c>
      <c r="M103" s="21">
        <f t="shared" si="23"/>
        <v>486.18</v>
      </c>
      <c r="N103" s="21">
        <f t="shared" si="20"/>
        <v>534.798</v>
      </c>
      <c r="O103" s="11">
        <v>100</v>
      </c>
      <c r="P103" s="22">
        <f t="shared" si="21"/>
        <v>634.798</v>
      </c>
      <c r="Q103" s="31"/>
      <c r="R103" s="1"/>
      <c r="S103" s="1"/>
      <c r="T103" s="1"/>
      <c r="U103" s="2"/>
      <c r="V103" s="3"/>
    </row>
    <row r="104" spans="1:22">
      <c r="A104" s="18">
        <v>4</v>
      </c>
      <c r="B104" s="19" t="s">
        <v>58</v>
      </c>
      <c r="C104" s="20" t="s">
        <v>23</v>
      </c>
      <c r="D104" s="20" t="s">
        <v>19</v>
      </c>
      <c r="E104" s="20" t="s">
        <v>19</v>
      </c>
      <c r="F104" s="20" t="s">
        <v>19</v>
      </c>
      <c r="G104" s="20" t="s">
        <v>18</v>
      </c>
      <c r="H104" s="21">
        <f t="shared" si="26"/>
        <v>144</v>
      </c>
      <c r="I104" s="21">
        <f t="shared" si="24"/>
        <v>85.679999999999993</v>
      </c>
      <c r="J104" s="21">
        <f t="shared" si="25"/>
        <v>61.2</v>
      </c>
      <c r="K104" s="21">
        <f t="shared" si="22"/>
        <v>85.679999999999993</v>
      </c>
      <c r="L104" s="21">
        <f t="shared" si="27"/>
        <v>88.2</v>
      </c>
      <c r="M104" s="21">
        <f t="shared" si="23"/>
        <v>464.76</v>
      </c>
      <c r="N104" s="21">
        <f t="shared" si="20"/>
        <v>511.23600000000005</v>
      </c>
      <c r="O104" s="11">
        <v>100</v>
      </c>
      <c r="P104" s="22">
        <f t="shared" si="21"/>
        <v>611.2360000000001</v>
      </c>
      <c r="Q104" s="31"/>
      <c r="R104" s="1"/>
      <c r="S104" s="1"/>
      <c r="T104" s="1"/>
      <c r="U104" s="2"/>
      <c r="V104" s="3"/>
    </row>
    <row r="105" spans="1:22">
      <c r="A105" s="18">
        <v>7</v>
      </c>
      <c r="B105" s="19" t="s">
        <v>58</v>
      </c>
      <c r="C105" s="20" t="s">
        <v>23</v>
      </c>
      <c r="D105" s="20" t="s">
        <v>59</v>
      </c>
      <c r="E105" s="20" t="s">
        <v>19</v>
      </c>
      <c r="F105" s="20" t="s">
        <v>22</v>
      </c>
      <c r="G105" s="20" t="s">
        <v>20</v>
      </c>
      <c r="H105" s="21">
        <f t="shared" si="26"/>
        <v>144</v>
      </c>
      <c r="I105" s="21">
        <f t="shared" si="24"/>
        <v>85.679999999999993</v>
      </c>
      <c r="J105" s="21">
        <f t="shared" si="25"/>
        <v>61.2</v>
      </c>
      <c r="K105" s="21">
        <f t="shared" si="22"/>
        <v>123.47999999999999</v>
      </c>
      <c r="L105" s="21">
        <f t="shared" si="27"/>
        <v>61.2</v>
      </c>
      <c r="M105" s="21">
        <f t="shared" si="23"/>
        <v>475.56</v>
      </c>
      <c r="N105" s="21">
        <f t="shared" si="20"/>
        <v>523.1160000000001</v>
      </c>
      <c r="O105" s="11">
        <v>100</v>
      </c>
      <c r="P105" s="22">
        <f t="shared" si="21"/>
        <v>623.1160000000001</v>
      </c>
      <c r="Q105" s="31"/>
      <c r="R105" s="1"/>
      <c r="S105" s="1"/>
      <c r="T105" s="1"/>
      <c r="U105" s="2"/>
      <c r="V105" s="3"/>
    </row>
    <row r="106" spans="1:22" ht="18" thickBot="1">
      <c r="A106" s="18">
        <v>8</v>
      </c>
      <c r="B106" s="45" t="s">
        <v>58</v>
      </c>
      <c r="C106" s="46" t="s">
        <v>23</v>
      </c>
      <c r="D106" s="46" t="s">
        <v>22</v>
      </c>
      <c r="E106" s="46" t="s">
        <v>22</v>
      </c>
      <c r="F106" s="46" t="s">
        <v>29</v>
      </c>
      <c r="G106" s="46" t="s">
        <v>18</v>
      </c>
      <c r="H106" s="47">
        <f t="shared" si="26"/>
        <v>144</v>
      </c>
      <c r="I106" s="47">
        <f t="shared" si="24"/>
        <v>123.47999999999999</v>
      </c>
      <c r="J106" s="47">
        <f t="shared" si="25"/>
        <v>88.2</v>
      </c>
      <c r="K106" s="47">
        <f t="shared" si="22"/>
        <v>143.63999999999999</v>
      </c>
      <c r="L106" s="47">
        <f t="shared" si="27"/>
        <v>88.2</v>
      </c>
      <c r="M106" s="47">
        <f t="shared" si="23"/>
        <v>587.52</v>
      </c>
      <c r="N106" s="51">
        <f t="shared" si="20"/>
        <v>646.27200000000005</v>
      </c>
      <c r="O106" s="48">
        <v>100</v>
      </c>
      <c r="P106" s="52">
        <f t="shared" si="21"/>
        <v>746.27200000000005</v>
      </c>
      <c r="Q106" s="50"/>
      <c r="R106" s="1"/>
      <c r="S106" s="1"/>
      <c r="T106" s="1"/>
      <c r="U106" s="2"/>
      <c r="V106" s="3"/>
    </row>
    <row r="107" spans="1:22">
      <c r="A107" s="53"/>
      <c r="B107" s="54" t="s">
        <v>61</v>
      </c>
      <c r="C107" s="55" t="s">
        <v>62</v>
      </c>
      <c r="D107" s="55" t="s">
        <v>63</v>
      </c>
      <c r="E107" s="55"/>
      <c r="F107" s="55"/>
      <c r="G107" s="55"/>
      <c r="H107" s="56">
        <f t="shared" si="26"/>
        <v>144</v>
      </c>
      <c r="I107" s="56">
        <f t="shared" si="24"/>
        <v>85.679999999999993</v>
      </c>
      <c r="J107" s="56"/>
      <c r="K107" s="56"/>
      <c r="L107" s="56"/>
      <c r="M107" s="57">
        <f t="shared" si="23"/>
        <v>229.68</v>
      </c>
      <c r="N107" s="58">
        <f t="shared" ref="N107:N111" si="28">SUM(H107:L107)*1.1</f>
        <v>252.64800000000002</v>
      </c>
      <c r="O107" s="55">
        <v>60</v>
      </c>
      <c r="P107" s="59">
        <f t="shared" si="21"/>
        <v>312.64800000000002</v>
      </c>
      <c r="Q107" s="60"/>
      <c r="R107" s="1"/>
      <c r="S107" s="1"/>
      <c r="T107" s="1"/>
      <c r="U107" s="2"/>
      <c r="V107" s="3"/>
    </row>
    <row r="108" spans="1:22">
      <c r="A108" s="53"/>
      <c r="B108" s="19" t="s">
        <v>61</v>
      </c>
      <c r="C108" s="20" t="s">
        <v>21</v>
      </c>
      <c r="D108" s="20" t="s">
        <v>63</v>
      </c>
      <c r="E108" s="20"/>
      <c r="F108" s="20"/>
      <c r="G108" s="20"/>
      <c r="H108" s="21">
        <f t="shared" si="26"/>
        <v>106.2</v>
      </c>
      <c r="I108" s="21">
        <f t="shared" si="24"/>
        <v>85.679999999999993</v>
      </c>
      <c r="J108" s="21"/>
      <c r="K108" s="21"/>
      <c r="L108" s="21"/>
      <c r="M108" s="21">
        <f t="shared" si="23"/>
        <v>191.88</v>
      </c>
      <c r="N108" s="21">
        <f t="shared" si="28"/>
        <v>211.06800000000001</v>
      </c>
      <c r="O108" s="20">
        <v>60</v>
      </c>
      <c r="P108" s="22">
        <f t="shared" si="21"/>
        <v>271.06799999999998</v>
      </c>
      <c r="Q108" s="31" t="s">
        <v>67</v>
      </c>
      <c r="R108" s="1"/>
      <c r="S108" s="1"/>
      <c r="T108" s="1"/>
      <c r="U108" s="2"/>
      <c r="V108" s="3"/>
    </row>
    <row r="109" spans="1:22">
      <c r="A109" s="53"/>
      <c r="B109" s="19" t="s">
        <v>61</v>
      </c>
      <c r="C109" s="20" t="s">
        <v>30</v>
      </c>
      <c r="D109" s="20" t="s">
        <v>63</v>
      </c>
      <c r="E109" s="20"/>
      <c r="F109" s="20"/>
      <c r="G109" s="20"/>
      <c r="H109" s="21">
        <f t="shared" si="26"/>
        <v>134.75</v>
      </c>
      <c r="I109" s="21">
        <f t="shared" si="24"/>
        <v>85.679999999999993</v>
      </c>
      <c r="J109" s="21"/>
      <c r="K109" s="21"/>
      <c r="L109" s="21"/>
      <c r="M109" s="21">
        <f t="shared" si="23"/>
        <v>220.43</v>
      </c>
      <c r="N109" s="21">
        <f t="shared" si="28"/>
        <v>242.47300000000001</v>
      </c>
      <c r="O109" s="20">
        <v>60</v>
      </c>
      <c r="P109" s="22">
        <f t="shared" si="21"/>
        <v>302.47300000000001</v>
      </c>
      <c r="Q109" s="31"/>
      <c r="R109" s="1"/>
      <c r="S109" s="1"/>
      <c r="T109" s="1"/>
      <c r="U109" s="2"/>
      <c r="V109" s="3"/>
    </row>
    <row r="110" spans="1:22">
      <c r="A110" s="53"/>
      <c r="B110" s="19" t="s">
        <v>61</v>
      </c>
      <c r="C110" s="20" t="s">
        <v>64</v>
      </c>
      <c r="D110" s="20" t="s">
        <v>19</v>
      </c>
      <c r="E110" s="20"/>
      <c r="F110" s="20"/>
      <c r="G110" s="20"/>
      <c r="H110" s="21">
        <f t="shared" si="26"/>
        <v>88.2</v>
      </c>
      <c r="I110" s="21">
        <f t="shared" ref="I110:I122" si="29">VLOOKUP(D110,$R$4:$U$64,4,FALSE)*1.4</f>
        <v>85.679999999999993</v>
      </c>
      <c r="J110" s="21"/>
      <c r="K110" s="21"/>
      <c r="L110" s="21"/>
      <c r="M110" s="21">
        <f t="shared" si="23"/>
        <v>173.88</v>
      </c>
      <c r="N110" s="21">
        <f t="shared" si="28"/>
        <v>191.268</v>
      </c>
      <c r="O110" s="20">
        <v>60</v>
      </c>
      <c r="P110" s="22">
        <f t="shared" si="21"/>
        <v>251.268</v>
      </c>
      <c r="Q110" s="31" t="s">
        <v>68</v>
      </c>
      <c r="R110" s="1"/>
      <c r="S110" s="1"/>
      <c r="T110" s="1"/>
      <c r="U110" s="2"/>
      <c r="V110" s="3"/>
    </row>
    <row r="111" spans="1:22">
      <c r="A111" s="53"/>
      <c r="B111" s="19" t="s">
        <v>61</v>
      </c>
      <c r="C111" s="20" t="s">
        <v>23</v>
      </c>
      <c r="D111" s="20" t="s">
        <v>64</v>
      </c>
      <c r="E111" s="20"/>
      <c r="F111" s="20"/>
      <c r="G111" s="20"/>
      <c r="H111" s="21">
        <f t="shared" si="26"/>
        <v>144</v>
      </c>
      <c r="I111" s="21">
        <f t="shared" si="29"/>
        <v>123.47999999999999</v>
      </c>
      <c r="J111" s="21"/>
      <c r="K111" s="21"/>
      <c r="L111" s="21"/>
      <c r="M111" s="21">
        <f t="shared" si="23"/>
        <v>267.48</v>
      </c>
      <c r="N111" s="21">
        <f t="shared" si="28"/>
        <v>294.22800000000007</v>
      </c>
      <c r="O111" s="20">
        <v>60</v>
      </c>
      <c r="P111" s="22">
        <f t="shared" si="21"/>
        <v>354.22800000000007</v>
      </c>
      <c r="Q111" s="31"/>
      <c r="R111" s="1"/>
      <c r="S111" s="1"/>
      <c r="T111" s="1"/>
      <c r="U111" s="2"/>
      <c r="V111" s="3"/>
    </row>
    <row r="112" spans="1:22">
      <c r="A112" s="53"/>
      <c r="B112" s="19" t="s">
        <v>61</v>
      </c>
      <c r="C112" s="20" t="s">
        <v>21</v>
      </c>
      <c r="D112" s="20" t="s">
        <v>64</v>
      </c>
      <c r="E112" s="20"/>
      <c r="F112" s="20"/>
      <c r="G112" s="20"/>
      <c r="H112" s="21">
        <f t="shared" si="26"/>
        <v>106.2</v>
      </c>
      <c r="I112" s="21">
        <f t="shared" si="29"/>
        <v>123.47999999999999</v>
      </c>
      <c r="J112" s="21"/>
      <c r="K112" s="21"/>
      <c r="L112" s="21"/>
      <c r="M112" s="21">
        <f t="shared" ref="M112:M114" si="30">SUM(H112:L112)</f>
        <v>229.68</v>
      </c>
      <c r="N112" s="21">
        <f t="shared" ref="N112:N122" si="31">SUM(H112:L112)*1.1</f>
        <v>252.64800000000002</v>
      </c>
      <c r="O112" s="20">
        <v>60</v>
      </c>
      <c r="P112" s="22">
        <f t="shared" si="21"/>
        <v>312.64800000000002</v>
      </c>
      <c r="Q112" s="31"/>
      <c r="R112" s="1"/>
      <c r="S112" s="1"/>
      <c r="T112" s="1"/>
      <c r="U112" s="2"/>
      <c r="V112" s="3"/>
    </row>
    <row r="113" spans="1:22">
      <c r="A113" s="53"/>
      <c r="B113" s="19" t="s">
        <v>61</v>
      </c>
      <c r="C113" s="20" t="s">
        <v>30</v>
      </c>
      <c r="D113" s="20" t="s">
        <v>64</v>
      </c>
      <c r="E113" s="20"/>
      <c r="F113" s="20"/>
      <c r="G113" s="20"/>
      <c r="H113" s="21">
        <f t="shared" si="26"/>
        <v>134.75</v>
      </c>
      <c r="I113" s="21">
        <f t="shared" si="29"/>
        <v>123.47999999999999</v>
      </c>
      <c r="J113" s="21"/>
      <c r="K113" s="21"/>
      <c r="L113" s="21"/>
      <c r="M113" s="21">
        <f t="shared" si="30"/>
        <v>258.23</v>
      </c>
      <c r="N113" s="21">
        <f t="shared" si="31"/>
        <v>284.05300000000005</v>
      </c>
      <c r="O113" s="20">
        <v>60</v>
      </c>
      <c r="P113" s="22">
        <f t="shared" si="21"/>
        <v>344.05300000000005</v>
      </c>
      <c r="Q113" s="31"/>
      <c r="R113" s="1"/>
      <c r="S113" s="1"/>
      <c r="T113" s="1"/>
      <c r="U113" s="2"/>
      <c r="V113" s="3"/>
    </row>
    <row r="114" spans="1:22">
      <c r="A114" s="53"/>
      <c r="B114" s="19" t="s">
        <v>61</v>
      </c>
      <c r="C114" s="20" t="s">
        <v>64</v>
      </c>
      <c r="D114" s="20" t="s">
        <v>64</v>
      </c>
      <c r="E114" s="20"/>
      <c r="F114" s="20"/>
      <c r="G114" s="20"/>
      <c r="H114" s="21">
        <f t="shared" si="26"/>
        <v>88.2</v>
      </c>
      <c r="I114" s="21">
        <f t="shared" si="29"/>
        <v>123.47999999999999</v>
      </c>
      <c r="J114" s="21"/>
      <c r="K114" s="21"/>
      <c r="L114" s="21"/>
      <c r="M114" s="21">
        <f t="shared" si="30"/>
        <v>211.68</v>
      </c>
      <c r="N114" s="21">
        <f t="shared" si="31"/>
        <v>232.84800000000001</v>
      </c>
      <c r="O114" s="20">
        <v>60</v>
      </c>
      <c r="P114" s="22">
        <f t="shared" si="21"/>
        <v>292.84800000000001</v>
      </c>
      <c r="Q114" s="31"/>
      <c r="R114" s="1"/>
      <c r="S114" s="1"/>
      <c r="T114" s="1"/>
      <c r="U114" s="2"/>
      <c r="V114" s="3"/>
    </row>
    <row r="115" spans="1:22">
      <c r="A115" s="53"/>
      <c r="B115" s="19" t="s">
        <v>65</v>
      </c>
      <c r="C115" s="20" t="s">
        <v>23</v>
      </c>
      <c r="D115" s="20" t="s">
        <v>19</v>
      </c>
      <c r="E115" s="20"/>
      <c r="F115" s="20"/>
      <c r="G115" s="20"/>
      <c r="H115" s="21">
        <f t="shared" si="26"/>
        <v>144</v>
      </c>
      <c r="I115" s="21">
        <f t="shared" si="29"/>
        <v>85.679999999999993</v>
      </c>
      <c r="J115" s="21"/>
      <c r="K115" s="21"/>
      <c r="L115" s="21"/>
      <c r="M115" s="21">
        <f t="shared" ref="M115:M122" si="32">SUM(H115:L115)</f>
        <v>229.68</v>
      </c>
      <c r="N115" s="21">
        <f t="shared" si="31"/>
        <v>252.64800000000002</v>
      </c>
      <c r="O115" s="20">
        <v>60</v>
      </c>
      <c r="P115" s="22">
        <f t="shared" si="21"/>
        <v>312.64800000000002</v>
      </c>
      <c r="Q115" s="31"/>
      <c r="R115" s="1"/>
      <c r="S115" s="1"/>
      <c r="T115" s="1"/>
      <c r="U115" s="2"/>
      <c r="V115" s="3"/>
    </row>
    <row r="116" spans="1:22">
      <c r="A116" s="53"/>
      <c r="B116" s="19" t="s">
        <v>65</v>
      </c>
      <c r="C116" s="20" t="s">
        <v>21</v>
      </c>
      <c r="D116" s="20" t="s">
        <v>19</v>
      </c>
      <c r="E116" s="20"/>
      <c r="F116" s="20"/>
      <c r="G116" s="20"/>
      <c r="H116" s="21">
        <f t="shared" si="26"/>
        <v>106.2</v>
      </c>
      <c r="I116" s="21">
        <f t="shared" si="29"/>
        <v>85.679999999999993</v>
      </c>
      <c r="J116" s="21"/>
      <c r="K116" s="21"/>
      <c r="L116" s="21"/>
      <c r="M116" s="21">
        <f t="shared" si="32"/>
        <v>191.88</v>
      </c>
      <c r="N116" s="21">
        <f t="shared" si="31"/>
        <v>211.06800000000001</v>
      </c>
      <c r="O116" s="20">
        <v>60</v>
      </c>
      <c r="P116" s="22">
        <f t="shared" si="21"/>
        <v>271.06799999999998</v>
      </c>
      <c r="Q116" s="31"/>
      <c r="R116" s="1"/>
      <c r="S116" s="1"/>
      <c r="T116" s="1"/>
      <c r="U116" s="2"/>
      <c r="V116" s="3"/>
    </row>
    <row r="117" spans="1:22">
      <c r="A117" s="53"/>
      <c r="B117" s="19" t="s">
        <v>65</v>
      </c>
      <c r="C117" s="20" t="s">
        <v>64</v>
      </c>
      <c r="D117" s="20" t="s">
        <v>19</v>
      </c>
      <c r="E117" s="20"/>
      <c r="F117" s="20"/>
      <c r="G117" s="20"/>
      <c r="H117" s="21">
        <f t="shared" si="26"/>
        <v>88.2</v>
      </c>
      <c r="I117" s="21">
        <f t="shared" si="29"/>
        <v>85.679999999999993</v>
      </c>
      <c r="J117" s="21"/>
      <c r="K117" s="21"/>
      <c r="L117" s="21"/>
      <c r="M117" s="21">
        <f t="shared" si="32"/>
        <v>173.88</v>
      </c>
      <c r="N117" s="21">
        <f t="shared" si="31"/>
        <v>191.268</v>
      </c>
      <c r="O117" s="20">
        <v>60</v>
      </c>
      <c r="P117" s="22">
        <f t="shared" si="21"/>
        <v>251.268</v>
      </c>
      <c r="Q117" s="31"/>
      <c r="R117" s="1"/>
      <c r="S117" s="1"/>
      <c r="T117" s="1"/>
      <c r="U117" s="2"/>
      <c r="V117" s="3"/>
    </row>
    <row r="118" spans="1:22">
      <c r="A118" s="53"/>
      <c r="B118" s="61" t="s">
        <v>65</v>
      </c>
      <c r="C118" s="20" t="s">
        <v>23</v>
      </c>
      <c r="D118" s="20" t="s">
        <v>64</v>
      </c>
      <c r="E118" s="20"/>
      <c r="F118" s="20"/>
      <c r="G118" s="20"/>
      <c r="H118" s="21">
        <f t="shared" si="26"/>
        <v>144</v>
      </c>
      <c r="I118" s="21">
        <f t="shared" si="29"/>
        <v>123.47999999999999</v>
      </c>
      <c r="J118" s="21"/>
      <c r="K118" s="21"/>
      <c r="L118" s="21"/>
      <c r="M118" s="21">
        <f t="shared" si="32"/>
        <v>267.48</v>
      </c>
      <c r="N118" s="21">
        <f t="shared" si="31"/>
        <v>294.22800000000007</v>
      </c>
      <c r="O118" s="20">
        <v>60</v>
      </c>
      <c r="P118" s="22">
        <f t="shared" si="21"/>
        <v>354.22800000000007</v>
      </c>
      <c r="Q118" s="31"/>
      <c r="R118" s="1"/>
      <c r="S118" s="1"/>
      <c r="T118" s="1"/>
      <c r="U118" s="2"/>
      <c r="V118" s="3"/>
    </row>
    <row r="119" spans="1:22">
      <c r="A119" s="53"/>
      <c r="B119" s="19" t="s">
        <v>65</v>
      </c>
      <c r="C119" s="20" t="s">
        <v>21</v>
      </c>
      <c r="D119" s="20" t="s">
        <v>64</v>
      </c>
      <c r="E119" s="20"/>
      <c r="F119" s="20"/>
      <c r="G119" s="20"/>
      <c r="H119" s="21">
        <f t="shared" si="26"/>
        <v>106.2</v>
      </c>
      <c r="I119" s="21">
        <f t="shared" si="29"/>
        <v>123.47999999999999</v>
      </c>
      <c r="J119" s="21"/>
      <c r="K119" s="21"/>
      <c r="L119" s="21"/>
      <c r="M119" s="21">
        <f t="shared" si="32"/>
        <v>229.68</v>
      </c>
      <c r="N119" s="21">
        <f t="shared" si="31"/>
        <v>252.64800000000002</v>
      </c>
      <c r="O119" s="20">
        <v>60</v>
      </c>
      <c r="P119" s="22">
        <f t="shared" si="21"/>
        <v>312.64800000000002</v>
      </c>
      <c r="Q119" s="31"/>
      <c r="R119" s="1"/>
      <c r="S119" s="1"/>
      <c r="T119" s="1"/>
      <c r="U119" s="2"/>
      <c r="V119" s="3"/>
    </row>
    <row r="120" spans="1:22">
      <c r="A120" s="53"/>
      <c r="B120" s="19" t="s">
        <v>65</v>
      </c>
      <c r="C120" s="20" t="s">
        <v>30</v>
      </c>
      <c r="D120" s="20" t="s">
        <v>64</v>
      </c>
      <c r="E120" s="20"/>
      <c r="F120" s="20"/>
      <c r="G120" s="20"/>
      <c r="H120" s="21">
        <f t="shared" si="26"/>
        <v>134.75</v>
      </c>
      <c r="I120" s="21">
        <f t="shared" si="29"/>
        <v>123.47999999999999</v>
      </c>
      <c r="J120" s="21"/>
      <c r="K120" s="21"/>
      <c r="L120" s="21"/>
      <c r="M120" s="21">
        <f t="shared" si="32"/>
        <v>258.23</v>
      </c>
      <c r="N120" s="21">
        <f t="shared" si="31"/>
        <v>284.05300000000005</v>
      </c>
      <c r="O120" s="20">
        <v>60</v>
      </c>
      <c r="P120" s="22">
        <f t="shared" si="21"/>
        <v>344.05300000000005</v>
      </c>
      <c r="Q120" s="31"/>
      <c r="R120" s="1"/>
      <c r="S120" s="1"/>
      <c r="T120" s="1"/>
      <c r="U120" s="2"/>
      <c r="V120" s="3"/>
    </row>
    <row r="121" spans="1:22">
      <c r="A121" s="53"/>
      <c r="B121" s="19" t="s">
        <v>65</v>
      </c>
      <c r="C121" s="20" t="s">
        <v>66</v>
      </c>
      <c r="D121" s="20" t="s">
        <v>64</v>
      </c>
      <c r="E121" s="20"/>
      <c r="F121" s="20"/>
      <c r="G121" s="20"/>
      <c r="H121" s="21">
        <f t="shared" si="26"/>
        <v>106.2</v>
      </c>
      <c r="I121" s="21">
        <f t="shared" si="29"/>
        <v>123.47999999999999</v>
      </c>
      <c r="J121" s="21"/>
      <c r="K121" s="21"/>
      <c r="L121" s="21"/>
      <c r="M121" s="21">
        <f t="shared" si="32"/>
        <v>229.68</v>
      </c>
      <c r="N121" s="21">
        <f t="shared" si="31"/>
        <v>252.64800000000002</v>
      </c>
      <c r="O121" s="20">
        <v>60</v>
      </c>
      <c r="P121" s="22">
        <f t="shared" si="21"/>
        <v>312.64800000000002</v>
      </c>
      <c r="Q121" s="31"/>
      <c r="R121" s="1"/>
      <c r="S121" s="1"/>
      <c r="T121" s="1"/>
      <c r="U121" s="2"/>
      <c r="V121" s="3"/>
    </row>
    <row r="122" spans="1:22" ht="18" thickBot="1">
      <c r="A122" s="3"/>
      <c r="B122" s="45" t="s">
        <v>65</v>
      </c>
      <c r="C122" s="46" t="s">
        <v>64</v>
      </c>
      <c r="D122" s="46" t="s">
        <v>64</v>
      </c>
      <c r="E122" s="46"/>
      <c r="F122" s="46"/>
      <c r="G122" s="46"/>
      <c r="H122" s="47">
        <f t="shared" si="26"/>
        <v>88.2</v>
      </c>
      <c r="I122" s="47">
        <f t="shared" si="29"/>
        <v>123.47999999999999</v>
      </c>
      <c r="J122" s="47"/>
      <c r="K122" s="47"/>
      <c r="L122" s="47"/>
      <c r="M122" s="47">
        <f t="shared" si="32"/>
        <v>211.68</v>
      </c>
      <c r="N122" s="47">
        <f t="shared" si="31"/>
        <v>232.84800000000001</v>
      </c>
      <c r="O122" s="46">
        <v>60</v>
      </c>
      <c r="P122" s="49">
        <f t="shared" si="21"/>
        <v>292.84800000000001</v>
      </c>
      <c r="Q122" s="50"/>
      <c r="R122" s="1"/>
      <c r="S122" s="1"/>
      <c r="T122" s="1"/>
      <c r="U122" s="2"/>
      <c r="V122" s="3"/>
    </row>
    <row r="123" spans="1:22">
      <c r="A123" s="3"/>
      <c r="B123" s="3"/>
      <c r="C123" s="3"/>
      <c r="D123" s="3"/>
      <c r="E123" s="3"/>
      <c r="F123" s="3"/>
      <c r="G123" s="3"/>
      <c r="H123" s="62"/>
      <c r="I123" s="62"/>
      <c r="J123" s="62"/>
      <c r="K123" s="62"/>
      <c r="L123" s="62"/>
      <c r="M123" s="62"/>
      <c r="N123" s="62"/>
      <c r="O123" s="3"/>
      <c r="P123" s="3"/>
      <c r="Q123" s="3"/>
      <c r="R123" s="1"/>
      <c r="S123" s="1"/>
      <c r="T123" s="1"/>
      <c r="U123" s="2"/>
      <c r="V123" s="3"/>
    </row>
  </sheetData>
  <mergeCells count="4">
    <mergeCell ref="A1:Q1"/>
    <mergeCell ref="F2:F3"/>
    <mergeCell ref="H2:J2"/>
    <mergeCell ref="H3:J3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원단계산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한동석</dc:creator>
  <cp:lastModifiedBy>guyhan76@naver.com</cp:lastModifiedBy>
  <cp:lastPrinted>2024-06-21T11:18:16Z</cp:lastPrinted>
  <dcterms:created xsi:type="dcterms:W3CDTF">2013-07-13T03:22:05Z</dcterms:created>
  <dcterms:modified xsi:type="dcterms:W3CDTF">2026-05-05T07:25:34Z</dcterms:modified>
</cp:coreProperties>
</file>