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앱프로젝트\Quote\"/>
    </mc:Choice>
  </mc:AlternateContent>
  <xr:revisionPtr revIDLastSave="0" documentId="13_ncr:1_{2C951E66-A96A-4B6E-A95B-626277E94643}" xr6:coauthVersionLast="47" xr6:coauthVersionMax="47" xr10:uidLastSave="{00000000-0000-0000-0000-000000000000}"/>
  <bookViews>
    <workbookView xWindow="10632" yWindow="252" windowWidth="12084" windowHeight="10368" xr2:uid="{00000000-000D-0000-FFFF-FFFF00000000}"/>
  </bookViews>
  <sheets>
    <sheet name="원지가격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</calcChain>
</file>

<file path=xl/sharedStrings.xml><?xml version="1.0" encoding="utf-8"?>
<sst xmlns="http://schemas.openxmlformats.org/spreadsheetml/2006/main" count="25" uniqueCount="25">
  <si>
    <t>원지종류</t>
  </si>
  <si>
    <t>톤당금액</t>
  </si>
  <si>
    <t>원지단가</t>
  </si>
  <si>
    <t>K180</t>
  </si>
  <si>
    <t>S120</t>
  </si>
  <si>
    <t>SK180</t>
  </si>
  <si>
    <t>백180</t>
  </si>
  <si>
    <t>KT160</t>
  </si>
  <si>
    <t>황180</t>
  </si>
  <si>
    <t>황210</t>
  </si>
  <si>
    <t>SK210</t>
  </si>
  <si>
    <t>CK180</t>
  </si>
  <si>
    <t>KLB175</t>
  </si>
  <si>
    <t>KLB225</t>
  </si>
  <si>
    <t>KLB300</t>
  </si>
  <si>
    <t>SC220</t>
  </si>
  <si>
    <t>SC240</t>
  </si>
  <si>
    <t>홍220</t>
  </si>
  <si>
    <t>S110</t>
  </si>
  <si>
    <t>B150</t>
  </si>
  <si>
    <t>K250</t>
  </si>
  <si>
    <t>K200</t>
  </si>
  <si>
    <t>평량(g/㎡)</t>
    <phoneticPr fontId="16" type="noConversion"/>
  </si>
  <si>
    <t>적용일자</t>
    <phoneticPr fontId="16" type="noConversion"/>
  </si>
  <si>
    <t>26.03.04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</si>
</sst>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0.000000"/>
    <numFmt numFmtId="177" formatCode="&quot;₩&quot;#,##0;&quot;₩&quot;\-#,##0"/>
    <numFmt numFmtId="178" formatCode="_ * #,##0_ ;_ * \-#,##0_ ;_ * &quot;-&quot;_ ;_ @_ "/>
    <numFmt numFmtId="179" formatCode="_ * #,##0.00_ ;_ * \-#,##0.00_ ;_ * &quot;-&quot;??_ ;_ @_ "/>
    <numFmt numFmtId="180" formatCode="#,##0_);\(#,##0\)"/>
    <numFmt numFmtId="181" formatCode="_(* #,##0.00_);_(* \(#,##0.00\);_(* &quot;-&quot;??_);_(@_)"/>
    <numFmt numFmtId="182" formatCode="#."/>
  </numFmts>
  <fonts count="1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"/>
      <color indexed="8"/>
      <name val="Courier"/>
      <family val="3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12"/>
      <name val="명조"/>
      <family val="3"/>
      <charset val="129"/>
    </font>
    <font>
      <sz val="10"/>
      <name val="MS Sans Serif"/>
      <family val="2"/>
    </font>
    <font>
      <sz val="1"/>
      <color indexed="0"/>
      <name val="Courier"/>
      <family val="3"/>
    </font>
    <font>
      <sz val="8"/>
      <name val="Arial"/>
      <family val="2"/>
    </font>
    <font>
      <b/>
      <sz val="12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36">
    <xf numFmtId="0" fontId="0" fillId="0" borderId="0">
      <alignment vertical="center"/>
    </xf>
    <xf numFmtId="0" fontId="1" fillId="0" borderId="0"/>
    <xf numFmtId="181" fontId="3" fillId="0" borderId="1">
      <protection locked="0"/>
    </xf>
    <xf numFmtId="0" fontId="1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182" fontId="13" fillId="0" borderId="0">
      <protection locked="0"/>
    </xf>
    <xf numFmtId="38" fontId="14" fillId="2" borderId="0" applyNumberFormat="0" applyBorder="0" applyAlignment="0" applyProtection="0"/>
    <xf numFmtId="0" fontId="15" fillId="0" borderId="2" applyNumberFormat="0" applyAlignment="0" applyProtection="0">
      <alignment horizontal="left" vertical="center"/>
    </xf>
    <xf numFmtId="0" fontId="15" fillId="0" borderId="3">
      <alignment horizontal="left" vertical="center"/>
    </xf>
    <xf numFmtId="10" fontId="14" fillId="3" borderId="4" applyNumberFormat="0" applyBorder="0" applyAlignment="0" applyProtection="0"/>
    <xf numFmtId="176" fontId="4" fillId="0" borderId="0"/>
    <xf numFmtId="182" fontId="13" fillId="0" borderId="0">
      <protection locked="0"/>
    </xf>
    <xf numFmtId="10" fontId="2" fillId="0" borderId="0" applyFont="0" applyFill="0" applyBorder="0" applyAlignment="0" applyProtection="0"/>
    <xf numFmtId="0" fontId="4" fillId="0" borderId="0"/>
    <xf numFmtId="2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" fontId="3" fillId="0" borderId="0" applyFont="0" applyFill="0" applyBorder="0" applyAlignment="0" applyProtection="0"/>
    <xf numFmtId="0" fontId="4" fillId="0" borderId="0"/>
    <xf numFmtId="0" fontId="4" fillId="0" borderId="0"/>
    <xf numFmtId="4" fontId="8" fillId="0" borderId="0">
      <protection locked="0"/>
    </xf>
    <xf numFmtId="3" fontId="3" fillId="0" borderId="0" applyFont="0" applyFill="0" applyBorder="0" applyAlignment="0" applyProtection="0"/>
    <xf numFmtId="178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" fillId="0" borderId="5" applyNumberFormat="0" applyFont="0" applyFill="0" applyAlignment="0" applyProtection="0"/>
    <xf numFmtId="180" fontId="11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7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8" fillId="0" borderId="6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8" xfId="0" applyFont="1" applyBorder="1">
      <alignment vertical="center"/>
    </xf>
    <xf numFmtId="0" fontId="18" fillId="0" borderId="7" xfId="0" applyFont="1" applyBorder="1" applyAlignment="1">
      <alignment vertical="center" wrapText="1"/>
    </xf>
    <xf numFmtId="0" fontId="18" fillId="0" borderId="0" xfId="0" applyFont="1" applyFill="1" applyBorder="1">
      <alignment vertical="center"/>
    </xf>
    <xf numFmtId="0" fontId="0" fillId="0" borderId="0" xfId="0" applyAlignment="1">
      <alignment horizontal="center" vertical="center"/>
    </xf>
  </cellXfs>
  <cellStyles count="36">
    <cellStyle name="??_x000c_@?_x000d_3?_x0001__x000b_" xfId="2" xr:uid="{00000000-0005-0000-0000-000000000000}"/>
    <cellStyle name="Comma [0]" xfId="3" xr:uid="{00000000-0005-0000-0000-000001000000}"/>
    <cellStyle name="Comma_laroux" xfId="4" xr:uid="{00000000-0005-0000-0000-000002000000}"/>
    <cellStyle name="Currency [0]" xfId="5" xr:uid="{00000000-0005-0000-0000-000003000000}"/>
    <cellStyle name="Currency_larou" xfId="6" xr:uid="{00000000-0005-0000-0000-000004000000}"/>
    <cellStyle name="Grey" xfId="7" xr:uid="{00000000-0005-0000-0000-000005000000}"/>
    <cellStyle name="Header1" xfId="8" xr:uid="{00000000-0005-0000-0000-000006000000}"/>
    <cellStyle name="Header2" xfId="9" xr:uid="{00000000-0005-0000-0000-000007000000}"/>
    <cellStyle name="Input [yellow]" xfId="10" xr:uid="{00000000-0005-0000-0000-000008000000}"/>
    <cellStyle name="Normal - Style1" xfId="11" xr:uid="{00000000-0005-0000-0000-000009000000}"/>
    <cellStyle name="Normal_certs q" xfId="12" xr:uid="{00000000-0005-0000-0000-00000A000000}"/>
    <cellStyle name="Percent [2]" xfId="13" xr:uid="{00000000-0005-0000-0000-00000B000000}"/>
    <cellStyle name="고정소 - 유형2" xfId="14" xr:uid="{00000000-0005-0000-0000-00000C000000}"/>
    <cellStyle name="고정소숫점" xfId="15" xr:uid="{00000000-0005-0000-0000-00000D000000}"/>
    <cellStyle name="고정출력1" xfId="16" xr:uid="{00000000-0005-0000-0000-00000E000000}"/>
    <cellStyle name="고정출력2" xfId="17" xr:uid="{00000000-0005-0000-0000-00000F000000}"/>
    <cellStyle name="날짜" xfId="18" xr:uid="{00000000-0005-0000-0000-000010000000}"/>
    <cellStyle name="달러" xfId="19" xr:uid="{00000000-0005-0000-0000-000011000000}"/>
    <cellStyle name="뒤에 오는 하이퍼링크_3월 메일송신" xfId="20" xr:uid="{00000000-0005-0000-0000-000012000000}"/>
    <cellStyle name="백분율 2" xfId="21" xr:uid="{00000000-0005-0000-0000-000013000000}"/>
    <cellStyle name="쉼표 [0] 2" xfId="22" xr:uid="{00000000-0005-0000-0000-000014000000}"/>
    <cellStyle name="스타일 1" xfId="23" xr:uid="{00000000-0005-0000-0000-000015000000}"/>
    <cellStyle name="자리수" xfId="24" xr:uid="{00000000-0005-0000-0000-000016000000}"/>
    <cellStyle name="자리수 - 유형1" xfId="25" xr:uid="{00000000-0005-0000-0000-000017000000}"/>
    <cellStyle name="자리수 - 유형3" xfId="26" xr:uid="{00000000-0005-0000-0000-000018000000}"/>
    <cellStyle name="자리수_laroux" xfId="27" xr:uid="{00000000-0005-0000-0000-000019000000}"/>
    <cellStyle name="자리수0" xfId="28" xr:uid="{00000000-0005-0000-0000-00001A000000}"/>
    <cellStyle name="콤마 [0]_(월초P)" xfId="29" xr:uid="{00000000-0005-0000-0000-00001B000000}"/>
    <cellStyle name="콤마_0001매출분석" xfId="30" xr:uid="{00000000-0005-0000-0000-00001C000000}"/>
    <cellStyle name="퍼센트" xfId="31" xr:uid="{00000000-0005-0000-0000-00001D000000}"/>
    <cellStyle name="표준" xfId="0" builtinId="0"/>
    <cellStyle name="표준 2" xfId="1" xr:uid="{00000000-0005-0000-0000-00001F000000}"/>
    <cellStyle name="표준 50" xfId="35" xr:uid="{BA8611B1-9AEB-43FB-A3CE-38957494518A}"/>
    <cellStyle name="합산" xfId="32" xr:uid="{00000000-0005-0000-0000-000020000000}"/>
    <cellStyle name="화폐기호" xfId="33" xr:uid="{00000000-0005-0000-0000-000021000000}"/>
    <cellStyle name="화폐기호0" xfId="34" xr:uid="{00000000-0005-0000-0000-00002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729F-9B18-45A0-8AE7-37B630BED733}">
  <dimension ref="A1:E20"/>
  <sheetViews>
    <sheetView tabSelected="1" workbookViewId="0">
      <selection activeCell="E2" sqref="E2"/>
    </sheetView>
  </sheetViews>
  <sheetFormatPr defaultRowHeight="17.399999999999999"/>
  <cols>
    <col min="2" max="2" width="9.5" customWidth="1"/>
  </cols>
  <sheetData>
    <row r="1" spans="1:5">
      <c r="A1" s="7" t="s">
        <v>0</v>
      </c>
      <c r="B1" s="10" t="s">
        <v>22</v>
      </c>
      <c r="C1" s="8" t="s">
        <v>1</v>
      </c>
      <c r="D1" s="9" t="s">
        <v>2</v>
      </c>
      <c r="E1" s="11" t="s">
        <v>23</v>
      </c>
    </row>
    <row r="2" spans="1:5">
      <c r="A2" s="1" t="s">
        <v>5</v>
      </c>
      <c r="B2" s="2">
        <v>180</v>
      </c>
      <c r="C2" s="2">
        <v>590000</v>
      </c>
      <c r="D2" s="3">
        <f>(B2*C2)*1/1000000</f>
        <v>106.2</v>
      </c>
      <c r="E2" s="12" t="s">
        <v>24</v>
      </c>
    </row>
    <row r="3" spans="1:5">
      <c r="A3" s="1" t="s">
        <v>6</v>
      </c>
      <c r="B3" s="2">
        <v>180</v>
      </c>
      <c r="C3" s="2">
        <v>800000</v>
      </c>
      <c r="D3" s="3">
        <f t="shared" ref="D3:D20" si="0">(B3*C3)*1/1000000</f>
        <v>144</v>
      </c>
    </row>
    <row r="4" spans="1:5">
      <c r="A4" s="1" t="s">
        <v>8</v>
      </c>
      <c r="B4" s="2">
        <v>180</v>
      </c>
      <c r="C4" s="2">
        <v>590000</v>
      </c>
      <c r="D4" s="3">
        <f t="shared" si="0"/>
        <v>106.2</v>
      </c>
    </row>
    <row r="5" spans="1:5">
      <c r="A5" s="1" t="s">
        <v>9</v>
      </c>
      <c r="B5" s="2">
        <v>210</v>
      </c>
      <c r="C5" s="2">
        <v>650000</v>
      </c>
      <c r="D5" s="3">
        <f t="shared" si="0"/>
        <v>136.5</v>
      </c>
    </row>
    <row r="6" spans="1:5">
      <c r="A6" s="1" t="s">
        <v>10</v>
      </c>
      <c r="B6" s="2">
        <v>210</v>
      </c>
      <c r="C6" s="2">
        <v>650000</v>
      </c>
      <c r="D6" s="3">
        <f t="shared" si="0"/>
        <v>136.5</v>
      </c>
    </row>
    <row r="7" spans="1:5">
      <c r="A7" s="1" t="s">
        <v>12</v>
      </c>
      <c r="B7" s="2">
        <v>175</v>
      </c>
      <c r="C7" s="2">
        <v>770000</v>
      </c>
      <c r="D7" s="3">
        <f t="shared" si="0"/>
        <v>134.75</v>
      </c>
    </row>
    <row r="8" spans="1:5">
      <c r="A8" s="1" t="s">
        <v>13</v>
      </c>
      <c r="B8" s="2">
        <v>225</v>
      </c>
      <c r="C8" s="2">
        <v>770000</v>
      </c>
      <c r="D8" s="3">
        <f t="shared" si="0"/>
        <v>173.25</v>
      </c>
    </row>
    <row r="9" spans="1:5">
      <c r="A9" s="1" t="s">
        <v>14</v>
      </c>
      <c r="B9" s="2">
        <v>300</v>
      </c>
      <c r="C9" s="2">
        <v>840000</v>
      </c>
      <c r="D9" s="3">
        <f t="shared" si="0"/>
        <v>252</v>
      </c>
    </row>
    <row r="10" spans="1:5">
      <c r="A10" s="1" t="s">
        <v>15</v>
      </c>
      <c r="B10" s="2">
        <v>220</v>
      </c>
      <c r="C10" s="2">
        <v>890000</v>
      </c>
      <c r="D10" s="3">
        <f t="shared" si="0"/>
        <v>195.8</v>
      </c>
    </row>
    <row r="11" spans="1:5">
      <c r="A11" s="1" t="s">
        <v>16</v>
      </c>
      <c r="B11" s="2">
        <v>240</v>
      </c>
      <c r="C11" s="2">
        <v>890000</v>
      </c>
      <c r="D11" s="3">
        <f t="shared" si="0"/>
        <v>213.6</v>
      </c>
    </row>
    <row r="12" spans="1:5">
      <c r="A12" s="1" t="s">
        <v>17</v>
      </c>
      <c r="B12" s="2">
        <v>220</v>
      </c>
      <c r="C12" s="2">
        <v>630000</v>
      </c>
      <c r="D12" s="3">
        <f t="shared" si="0"/>
        <v>138.6</v>
      </c>
    </row>
    <row r="13" spans="1:5">
      <c r="A13" s="1" t="s">
        <v>18</v>
      </c>
      <c r="B13" s="2">
        <v>110</v>
      </c>
      <c r="C13" s="2">
        <v>510000</v>
      </c>
      <c r="D13" s="3">
        <f t="shared" si="0"/>
        <v>56.1</v>
      </c>
    </row>
    <row r="14" spans="1:5">
      <c r="A14" s="1" t="s">
        <v>4</v>
      </c>
      <c r="B14" s="2">
        <v>120</v>
      </c>
      <c r="C14" s="2">
        <v>510000</v>
      </c>
      <c r="D14" s="3">
        <f t="shared" si="0"/>
        <v>61.2</v>
      </c>
    </row>
    <row r="15" spans="1:5">
      <c r="A15" s="1" t="s">
        <v>19</v>
      </c>
      <c r="B15" s="2">
        <v>150</v>
      </c>
      <c r="C15" s="2">
        <v>510000</v>
      </c>
      <c r="D15" s="3">
        <f t="shared" si="0"/>
        <v>76.5</v>
      </c>
    </row>
    <row r="16" spans="1:5">
      <c r="A16" s="1" t="s">
        <v>7</v>
      </c>
      <c r="B16" s="2">
        <v>160</v>
      </c>
      <c r="C16" s="2">
        <v>520000</v>
      </c>
      <c r="D16" s="3">
        <f t="shared" si="0"/>
        <v>83.2</v>
      </c>
    </row>
    <row r="17" spans="1:4">
      <c r="A17" s="1" t="s">
        <v>11</v>
      </c>
      <c r="B17" s="2">
        <v>180</v>
      </c>
      <c r="C17" s="2">
        <v>570000</v>
      </c>
      <c r="D17" s="3">
        <f t="shared" si="0"/>
        <v>102.6</v>
      </c>
    </row>
    <row r="18" spans="1:4">
      <c r="A18" s="1" t="s">
        <v>3</v>
      </c>
      <c r="B18" s="2">
        <v>180</v>
      </c>
      <c r="C18" s="2">
        <v>490000</v>
      </c>
      <c r="D18" s="3">
        <f t="shared" si="0"/>
        <v>88.2</v>
      </c>
    </row>
    <row r="19" spans="1:4">
      <c r="A19" s="1" t="s">
        <v>20</v>
      </c>
      <c r="B19" s="2">
        <v>250</v>
      </c>
      <c r="C19" s="2">
        <v>490000</v>
      </c>
      <c r="D19" s="3">
        <f t="shared" si="0"/>
        <v>122.5</v>
      </c>
    </row>
    <row r="20" spans="1:4" ht="18" thickBot="1">
      <c r="A20" s="4" t="s">
        <v>21</v>
      </c>
      <c r="B20" s="5">
        <v>200</v>
      </c>
      <c r="C20" s="5">
        <v>490000</v>
      </c>
      <c r="D20" s="6">
        <f t="shared" si="0"/>
        <v>98</v>
      </c>
    </row>
  </sheetData>
  <phoneticPr fontId="16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원지가격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한동석</dc:creator>
  <cp:lastModifiedBy>guyhan76@naver.com</cp:lastModifiedBy>
  <cp:lastPrinted>2024-06-21T11:18:16Z</cp:lastPrinted>
  <dcterms:created xsi:type="dcterms:W3CDTF">2013-07-13T03:22:05Z</dcterms:created>
  <dcterms:modified xsi:type="dcterms:W3CDTF">2026-05-05T05:52:46Z</dcterms:modified>
</cp:coreProperties>
</file>